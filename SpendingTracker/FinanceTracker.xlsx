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yler\Desktop\Taxes\Fin\"/>
    </mc:Choice>
  </mc:AlternateContent>
  <xr:revisionPtr revIDLastSave="0" documentId="13_ncr:1_{0601748D-7F03-45E0-A3CA-59C6E28E057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mplate" sheetId="1" r:id="rId1"/>
    <sheet name="Example Mont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5" l="1"/>
  <c r="H57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AD47" i="5"/>
  <c r="AC47" i="5"/>
  <c r="AC46" i="5" s="1"/>
  <c r="AC56" i="5" s="1"/>
  <c r="AB47" i="5"/>
  <c r="AA47" i="5"/>
  <c r="AA46" i="5" s="1"/>
  <c r="Z47" i="5"/>
  <c r="Y47" i="5"/>
  <c r="X47" i="5"/>
  <c r="W47" i="5"/>
  <c r="V47" i="5"/>
  <c r="U47" i="5"/>
  <c r="U46" i="5" s="1"/>
  <c r="U56" i="5" s="1"/>
  <c r="T47" i="5"/>
  <c r="S47" i="5"/>
  <c r="S46" i="5" s="1"/>
  <c r="R47" i="5"/>
  <c r="Q47" i="5"/>
  <c r="Q46" i="5" s="1"/>
  <c r="P47" i="5"/>
  <c r="O47" i="5"/>
  <c r="N47" i="5"/>
  <c r="M47" i="5"/>
  <c r="L47" i="5"/>
  <c r="K47" i="5"/>
  <c r="Y46" i="5"/>
  <c r="W46" i="5"/>
  <c r="D43" i="5"/>
  <c r="V42" i="5"/>
  <c r="T42" i="5"/>
  <c r="AA56" i="5" s="1"/>
  <c r="R42" i="5"/>
  <c r="Y56" i="5" s="1"/>
  <c r="P42" i="5"/>
  <c r="W56" i="5" s="1"/>
  <c r="N42" i="5"/>
  <c r="L42" i="5"/>
  <c r="S56" i="5" s="1"/>
  <c r="J42" i="5"/>
  <c r="H42" i="5"/>
  <c r="F42" i="5"/>
  <c r="D42" i="5"/>
  <c r="B12" i="5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D3" i="5"/>
  <c r="D60" i="5" s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I47" i="1"/>
  <c r="H47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D54" i="1"/>
  <c r="AC54" i="1"/>
  <c r="AB54" i="1"/>
  <c r="AA54" i="1"/>
  <c r="Z54" i="1"/>
  <c r="Y54" i="1"/>
  <c r="X54" i="1"/>
  <c r="W54" i="1"/>
  <c r="W46" i="1" s="1"/>
  <c r="V54" i="1"/>
  <c r="U54" i="1"/>
  <c r="T54" i="1"/>
  <c r="S54" i="1"/>
  <c r="R54" i="1"/>
  <c r="Q54" i="1"/>
  <c r="P54" i="1"/>
  <c r="O54" i="1"/>
  <c r="O46" i="1" s="1"/>
  <c r="N54" i="1"/>
  <c r="M54" i="1"/>
  <c r="L54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D53" i="1" s="1" a="1"/>
  <c r="D53" i="1" s="1"/>
  <c r="M53" i="1"/>
  <c r="L53" i="1"/>
  <c r="K53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D52" i="1" s="1" a="1"/>
  <c r="D52" i="1" s="1"/>
  <c r="M52" i="1"/>
  <c r="L52" i="1"/>
  <c r="K52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D51" i="1" s="1" a="1"/>
  <c r="D51" i="1" s="1"/>
  <c r="M51" i="1"/>
  <c r="L51" i="1"/>
  <c r="K51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D50" i="1" s="1" a="1"/>
  <c r="D50" i="1" s="1"/>
  <c r="M50" i="1"/>
  <c r="L50" i="1"/>
  <c r="K50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D49" i="1" s="1" a="1"/>
  <c r="D49" i="1" s="1"/>
  <c r="M49" i="1"/>
  <c r="L49" i="1"/>
  <c r="K49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D48" i="1" s="1" a="1"/>
  <c r="D48" i="1" s="1"/>
  <c r="M48" i="1"/>
  <c r="L48" i="1"/>
  <c r="K48" i="1"/>
  <c r="AD47" i="1"/>
  <c r="AC47" i="1"/>
  <c r="AB47" i="1"/>
  <c r="AA47" i="1"/>
  <c r="Z47" i="1"/>
  <c r="Y47" i="1"/>
  <c r="Y46" i="1" s="1"/>
  <c r="X47" i="1"/>
  <c r="W47" i="1"/>
  <c r="V47" i="1"/>
  <c r="U47" i="1"/>
  <c r="U46" i="1" s="1"/>
  <c r="T47" i="1"/>
  <c r="S47" i="1"/>
  <c r="R47" i="1"/>
  <c r="Q47" i="1"/>
  <c r="Q46" i="1" s="1"/>
  <c r="P47" i="1"/>
  <c r="O47" i="1"/>
  <c r="N47" i="1"/>
  <c r="D47" i="1" s="1" a="1"/>
  <c r="D47" i="1" s="1"/>
  <c r="M47" i="1"/>
  <c r="L47" i="1"/>
  <c r="K47" i="1"/>
  <c r="AC46" i="1"/>
  <c r="M46" i="1"/>
  <c r="D43" i="1"/>
  <c r="V42" i="1"/>
  <c r="T42" i="1"/>
  <c r="R42" i="1"/>
  <c r="P42" i="1"/>
  <c r="N42" i="1"/>
  <c r="L42" i="1"/>
  <c r="J42" i="1"/>
  <c r="H42" i="1"/>
  <c r="F42" i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D42" i="1"/>
  <c r="D3" i="1"/>
  <c r="M46" i="5" l="1"/>
  <c r="M56" i="5" s="1"/>
  <c r="O46" i="5"/>
  <c r="Q56" i="5"/>
  <c r="O56" i="5"/>
  <c r="D47" i="5" a="1"/>
  <c r="D47" i="5" s="1"/>
  <c r="G47" i="5" s="1"/>
  <c r="D48" i="5" a="1"/>
  <c r="D48" i="5" s="1"/>
  <c r="G48" i="5" s="1"/>
  <c r="D49" i="5" a="1"/>
  <c r="D49" i="5" s="1"/>
  <c r="G49" i="5" s="1"/>
  <c r="D50" i="5" a="1"/>
  <c r="D50" i="5" s="1"/>
  <c r="G50" i="5" s="1"/>
  <c r="D51" i="5" a="1"/>
  <c r="D51" i="5" s="1"/>
  <c r="G51" i="5" s="1"/>
  <c r="D52" i="5" a="1"/>
  <c r="D52" i="5" s="1"/>
  <c r="G52" i="5" s="1"/>
  <c r="D53" i="5" a="1"/>
  <c r="D53" i="5" s="1"/>
  <c r="G53" i="5" s="1"/>
  <c r="D54" i="5" a="1"/>
  <c r="D54" i="5" s="1"/>
  <c r="G54" i="5" s="1"/>
  <c r="D55" i="5" a="1"/>
  <c r="D55" i="5" s="1"/>
  <c r="G55" i="5" s="1"/>
  <c r="E47" i="5" a="1"/>
  <c r="E47" i="5" s="1"/>
  <c r="I47" i="5" s="1"/>
  <c r="E48" i="5" a="1"/>
  <c r="E48" i="5" s="1"/>
  <c r="I48" i="5" s="1"/>
  <c r="K46" i="5"/>
  <c r="K56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 s="1"/>
  <c r="W56" i="1"/>
  <c r="U56" i="1"/>
  <c r="AC56" i="1"/>
  <c r="Y56" i="1"/>
  <c r="E55" i="1" a="1"/>
  <c r="E55" i="1" s="1"/>
  <c r="S46" i="1"/>
  <c r="S56" i="1" s="1"/>
  <c r="AA46" i="1"/>
  <c r="AA56" i="1" s="1"/>
  <c r="E48" i="1" a="1"/>
  <c r="E48" i="1" s="1"/>
  <c r="E49" i="1" a="1"/>
  <c r="E49" i="1" s="1"/>
  <c r="E51" i="1" a="1"/>
  <c r="E51" i="1" s="1"/>
  <c r="E52" i="1" a="1"/>
  <c r="E52" i="1" s="1"/>
  <c r="E53" i="1" a="1"/>
  <c r="E53" i="1" s="1"/>
  <c r="E47" i="1" a="1"/>
  <c r="E47" i="1" s="1"/>
  <c r="E50" i="1" a="1"/>
  <c r="E50" i="1" s="1"/>
  <c r="M56" i="1"/>
  <c r="O56" i="1"/>
  <c r="Q56" i="1"/>
  <c r="D55" i="1" a="1"/>
  <c r="D55" i="1" s="1"/>
  <c r="G55" i="1" s="1"/>
  <c r="G53" i="1"/>
  <c r="G52" i="1"/>
  <c r="G51" i="1"/>
  <c r="G50" i="1"/>
  <c r="G49" i="1"/>
  <c r="G48" i="1"/>
  <c r="G47" i="1"/>
  <c r="D60" i="1"/>
  <c r="K54" i="1"/>
  <c r="K46" i="1" s="1"/>
  <c r="K56" i="1" s="1"/>
  <c r="H47" i="5" l="1"/>
  <c r="H48" i="5"/>
  <c r="D56" i="5" a="1"/>
  <c r="D56" i="5" s="1"/>
  <c r="E56" i="5" a="1"/>
  <c r="E56" i="5" s="1"/>
  <c r="I55" i="5"/>
  <c r="I54" i="5"/>
  <c r="I50" i="5"/>
  <c r="H50" i="5"/>
  <c r="I53" i="5"/>
  <c r="H53" i="5"/>
  <c r="I49" i="5"/>
  <c r="H49" i="5"/>
  <c r="I51" i="5"/>
  <c r="H51" i="5"/>
  <c r="I52" i="5"/>
  <c r="H52" i="5"/>
  <c r="E56" i="1" a="1"/>
  <c r="E56" i="1" s="1"/>
  <c r="D56" i="1" a="1"/>
  <c r="D56" i="1" s="1"/>
  <c r="G56" i="1" s="1"/>
  <c r="E54" i="1" a="1"/>
  <c r="E54" i="1" s="1"/>
  <c r="D54" i="1" a="1"/>
  <c r="D54" i="1" s="1"/>
  <c r="I56" i="5" l="1"/>
  <c r="H56" i="5"/>
  <c r="G56" i="5"/>
  <c r="G57" i="5" s="1"/>
  <c r="D62" i="5" s="1"/>
  <c r="D44" i="5"/>
  <c r="D61" i="5"/>
  <c r="D44" i="1"/>
  <c r="G54" i="1"/>
  <c r="G57" i="1" s="1"/>
  <c r="D62" i="1" s="1"/>
  <c r="D61" i="1"/>
  <c r="F56" i="5" l="1"/>
  <c r="F55" i="5"/>
  <c r="H55" i="5" s="1"/>
  <c r="F54" i="5"/>
  <c r="H54" i="5" s="1"/>
  <c r="F53" i="5"/>
  <c r="F52" i="5"/>
  <c r="F51" i="5"/>
  <c r="F50" i="5"/>
  <c r="F49" i="5"/>
  <c r="F48" i="5"/>
  <c r="F47" i="5"/>
  <c r="F44" i="5"/>
  <c r="F49" i="1"/>
  <c r="F48" i="1"/>
  <c r="F47" i="1"/>
  <c r="F56" i="1"/>
  <c r="F55" i="1"/>
  <c r="F54" i="1"/>
  <c r="F53" i="1"/>
  <c r="F52" i="1"/>
  <c r="F51" i="1"/>
  <c r="F50" i="1"/>
  <c r="F44" i="1"/>
  <c r="F57" i="5" l="1"/>
  <c r="F5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<sst xmlns="http://schemas.openxmlformats.org/spreadsheetml/2006/main" count="147" uniqueCount="30">
  <si>
    <t>Categories</t>
  </si>
  <si>
    <t>Category Total</t>
  </si>
  <si>
    <t>Instances of Purchase</t>
  </si>
  <si>
    <t>Gas</t>
  </si>
  <si>
    <t>Rent</t>
  </si>
  <si>
    <t>Insurance</t>
  </si>
  <si>
    <t>Phone</t>
  </si>
  <si>
    <t>Percentage of Costs</t>
  </si>
  <si>
    <t>Percentage of Income</t>
  </si>
  <si>
    <t>Percentage of Costs Per Instance?</t>
  </si>
  <si>
    <t>Percentage of Income Per Instance?</t>
  </si>
  <si>
    <t>Lunch</t>
  </si>
  <si>
    <t>Caffeine</t>
  </si>
  <si>
    <t>Nintendo</t>
  </si>
  <si>
    <t>Therapy</t>
  </si>
  <si>
    <t>Income</t>
  </si>
  <si>
    <t>Student Loans</t>
  </si>
  <si>
    <t>Category</t>
  </si>
  <si>
    <t>Cost</t>
  </si>
  <si>
    <t>Total Costs</t>
  </si>
  <si>
    <t>Check Amounts</t>
  </si>
  <si>
    <t>Date</t>
  </si>
  <si>
    <t>Other</t>
  </si>
  <si>
    <t>Other Total Cost</t>
  </si>
  <si>
    <t>Diff</t>
  </si>
  <si>
    <t>Index Totals</t>
  </si>
  <si>
    <t>Amount</t>
  </si>
  <si>
    <t>Count</t>
  </si>
  <si>
    <t>Total Cost</t>
  </si>
  <si>
    <t>Cost Percentage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</si>
</sst>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 patternType="lightTrellis">
          <fgColor theme="1" tint="4.9989318521683403E-2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 patternType="lightTrellis">
          <fgColor theme="1" tint="4.9989318521683403E-2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D62"/>
  <sheetViews>
    <sheetView zoomScaleNormal="100" workbookViewId="0"/>
  </sheetViews>
  <sheetFormatPr defaultRowHeight="15" x14ac:dyDescent="0.25"/>
  <cols>
    <col min="2" max="2" width="10.42578125" bestFit="1" customWidth="1"/>
    <col min="3" max="3" width="10.85546875" customWidth="1"/>
  </cols>
  <sheetData>
    <row r="3" spans="2:22" x14ac:dyDescent="0.25">
      <c r="C3" t="s">
        <v>15</v>
      </c>
      <c r="D3">
        <f>SUM(D4:K4)</f>
        <v>96.3</v>
      </c>
    </row>
    <row r="4" spans="2:22" x14ac:dyDescent="0.25">
      <c r="B4" t="s">
        <v>20</v>
      </c>
      <c r="D4">
        <v>85.2</v>
      </c>
      <c r="E4">
        <v>11.1</v>
      </c>
    </row>
    <row r="10" spans="2:22" x14ac:dyDescent="0.25">
      <c r="B10" s="2" t="s">
        <v>21</v>
      </c>
      <c r="C10" t="s">
        <v>17</v>
      </c>
      <c r="D10" t="s">
        <v>18</v>
      </c>
      <c r="E10" t="s">
        <v>17</v>
      </c>
      <c r="F10" t="s">
        <v>18</v>
      </c>
      <c r="G10" t="s">
        <v>17</v>
      </c>
      <c r="H10" t="s">
        <v>18</v>
      </c>
      <c r="I10" t="s">
        <v>17</v>
      </c>
      <c r="J10" t="s">
        <v>18</v>
      </c>
      <c r="K10" t="s">
        <v>17</v>
      </c>
      <c r="L10" t="s">
        <v>18</v>
      </c>
      <c r="M10" t="s">
        <v>17</v>
      </c>
      <c r="N10" t="s">
        <v>18</v>
      </c>
      <c r="O10" t="s">
        <v>17</v>
      </c>
      <c r="P10" t="s">
        <v>18</v>
      </c>
      <c r="Q10" t="s">
        <v>17</v>
      </c>
      <c r="R10" t="s">
        <v>18</v>
      </c>
      <c r="S10" t="s">
        <v>17</v>
      </c>
      <c r="T10" t="s">
        <v>18</v>
      </c>
      <c r="U10" t="s">
        <v>17</v>
      </c>
      <c r="V10" t="s">
        <v>18</v>
      </c>
    </row>
    <row r="11" spans="2:22" x14ac:dyDescent="0.25">
      <c r="B11" s="2">
        <v>25569</v>
      </c>
    </row>
    <row r="12" spans="2:22" x14ac:dyDescent="0.25">
      <c r="B12" s="2">
        <f>B11+1</f>
        <v>25570</v>
      </c>
    </row>
    <row r="13" spans="2:22" x14ac:dyDescent="0.25">
      <c r="B13" s="2">
        <f t="shared" ref="B13:B41" si="0">B12+1</f>
        <v>25571</v>
      </c>
    </row>
    <row r="14" spans="2:22" x14ac:dyDescent="0.25">
      <c r="B14" s="2">
        <f t="shared" si="0"/>
        <v>25572</v>
      </c>
    </row>
    <row r="15" spans="2:22" x14ac:dyDescent="0.25">
      <c r="B15" s="2">
        <f t="shared" si="0"/>
        <v>25573</v>
      </c>
    </row>
    <row r="16" spans="2:22" x14ac:dyDescent="0.25">
      <c r="B16" s="2">
        <f t="shared" si="0"/>
        <v>25574</v>
      </c>
    </row>
    <row r="17" spans="2:2" x14ac:dyDescent="0.25">
      <c r="B17" s="2">
        <f t="shared" si="0"/>
        <v>25575</v>
      </c>
    </row>
    <row r="18" spans="2:2" x14ac:dyDescent="0.25">
      <c r="B18" s="2">
        <f t="shared" si="0"/>
        <v>25576</v>
      </c>
    </row>
    <row r="19" spans="2:2" x14ac:dyDescent="0.25">
      <c r="B19" s="2">
        <f t="shared" si="0"/>
        <v>25577</v>
      </c>
    </row>
    <row r="20" spans="2:2" x14ac:dyDescent="0.25">
      <c r="B20" s="2">
        <f t="shared" si="0"/>
        <v>25578</v>
      </c>
    </row>
    <row r="21" spans="2:2" x14ac:dyDescent="0.25">
      <c r="B21" s="2">
        <f t="shared" si="0"/>
        <v>25579</v>
      </c>
    </row>
    <row r="22" spans="2:2" x14ac:dyDescent="0.25">
      <c r="B22" s="2">
        <f t="shared" si="0"/>
        <v>25580</v>
      </c>
    </row>
    <row r="23" spans="2:2" x14ac:dyDescent="0.25">
      <c r="B23" s="2">
        <f t="shared" si="0"/>
        <v>25581</v>
      </c>
    </row>
    <row r="24" spans="2:2" x14ac:dyDescent="0.25">
      <c r="B24" s="2">
        <f t="shared" si="0"/>
        <v>25582</v>
      </c>
    </row>
    <row r="25" spans="2:2" x14ac:dyDescent="0.25">
      <c r="B25" s="2">
        <f t="shared" si="0"/>
        <v>25583</v>
      </c>
    </row>
    <row r="26" spans="2:2" x14ac:dyDescent="0.25">
      <c r="B26" s="2">
        <f t="shared" si="0"/>
        <v>25584</v>
      </c>
    </row>
    <row r="27" spans="2:2" x14ac:dyDescent="0.25">
      <c r="B27" s="2">
        <f t="shared" si="0"/>
        <v>25585</v>
      </c>
    </row>
    <row r="28" spans="2:2" x14ac:dyDescent="0.25">
      <c r="B28" s="2">
        <f t="shared" si="0"/>
        <v>25586</v>
      </c>
    </row>
    <row r="29" spans="2:2" x14ac:dyDescent="0.25">
      <c r="B29" s="2">
        <f t="shared" si="0"/>
        <v>25587</v>
      </c>
    </row>
    <row r="30" spans="2:2" x14ac:dyDescent="0.25">
      <c r="B30" s="2">
        <f t="shared" si="0"/>
        <v>25588</v>
      </c>
    </row>
    <row r="31" spans="2:2" x14ac:dyDescent="0.25">
      <c r="B31" s="2">
        <f t="shared" si="0"/>
        <v>25589</v>
      </c>
    </row>
    <row r="32" spans="2:2" x14ac:dyDescent="0.25">
      <c r="B32" s="2">
        <f t="shared" si="0"/>
        <v>25590</v>
      </c>
    </row>
    <row r="33" spans="2:30" x14ac:dyDescent="0.25">
      <c r="B33" s="2">
        <f t="shared" si="0"/>
        <v>25591</v>
      </c>
    </row>
    <row r="34" spans="2:30" x14ac:dyDescent="0.25">
      <c r="B34" s="2">
        <f t="shared" si="0"/>
        <v>25592</v>
      </c>
    </row>
    <row r="35" spans="2:30" x14ac:dyDescent="0.25">
      <c r="B35" s="2">
        <f t="shared" si="0"/>
        <v>25593</v>
      </c>
    </row>
    <row r="36" spans="2:30" x14ac:dyDescent="0.25">
      <c r="B36" s="2">
        <f t="shared" si="0"/>
        <v>25594</v>
      </c>
    </row>
    <row r="37" spans="2:30" x14ac:dyDescent="0.25">
      <c r="B37" s="2">
        <f t="shared" si="0"/>
        <v>25595</v>
      </c>
    </row>
    <row r="38" spans="2:30" x14ac:dyDescent="0.25">
      <c r="B38" s="2">
        <f t="shared" si="0"/>
        <v>25596</v>
      </c>
    </row>
    <row r="39" spans="2:30" x14ac:dyDescent="0.25">
      <c r="B39" s="2">
        <f t="shared" si="0"/>
        <v>25597</v>
      </c>
    </row>
    <row r="40" spans="2:30" x14ac:dyDescent="0.25">
      <c r="B40" s="2">
        <f t="shared" si="0"/>
        <v>25598</v>
      </c>
    </row>
    <row r="41" spans="2:30" x14ac:dyDescent="0.25">
      <c r="B41" s="2">
        <f t="shared" si="0"/>
        <v>25599</v>
      </c>
    </row>
    <row r="42" spans="2:30" ht="2.25" customHeight="1" x14ac:dyDescent="0.25">
      <c r="B42" t="s">
        <v>25</v>
      </c>
      <c r="D42">
        <f>SUM(D$11:D41)</f>
        <v>0</v>
      </c>
      <c r="F42">
        <f>SUM(F$11:F41)</f>
        <v>0</v>
      </c>
      <c r="H42">
        <f>SUM(H$11:H41)</f>
        <v>0</v>
      </c>
      <c r="J42">
        <f>SUM(J$11:J41)</f>
        <v>0</v>
      </c>
      <c r="L42">
        <f>SUM(L$11:L41)</f>
        <v>0</v>
      </c>
      <c r="N42">
        <f>SUM(N$11:N41)</f>
        <v>0</v>
      </c>
      <c r="P42">
        <f>SUM(P$11:P41)</f>
        <v>0</v>
      </c>
      <c r="R42">
        <f>SUM(R$11:R41)</f>
        <v>0</v>
      </c>
      <c r="T42">
        <f>SUM(T$11:T41)</f>
        <v>0</v>
      </c>
      <c r="V42">
        <f>SUM(V$11:V41)</f>
        <v>0</v>
      </c>
    </row>
    <row r="43" spans="2:30" x14ac:dyDescent="0.25">
      <c r="B43" t="s">
        <v>23</v>
      </c>
      <c r="D43">
        <f>SUM(D11:D41,F11:F41,H11:H41,J11:J41,L11:L41,N11:N41,P11:P41,R11:R41,T11:T41,V11:V41)</f>
        <v>0</v>
      </c>
    </row>
    <row r="44" spans="2:30" x14ac:dyDescent="0.25">
      <c r="C44" t="s">
        <v>19</v>
      </c>
      <c r="D44">
        <f>SUM(D47:D56)</f>
        <v>0</v>
      </c>
      <c r="E44" t="s">
        <v>24</v>
      </c>
      <c r="F44">
        <f>MAX(D43:D44)-MIN(D43:D44)</f>
        <v>0</v>
      </c>
    </row>
    <row r="45" spans="2:30" ht="90" x14ac:dyDescent="0.25">
      <c r="C45" t="s">
        <v>0</v>
      </c>
      <c r="D45" t="s">
        <v>1</v>
      </c>
      <c r="E45" s="1" t="s">
        <v>2</v>
      </c>
      <c r="F45" s="1" t="s">
        <v>7</v>
      </c>
      <c r="G45" s="1" t="s">
        <v>8</v>
      </c>
      <c r="H45" s="1" t="s">
        <v>9</v>
      </c>
      <c r="I45" s="1" t="s">
        <v>10</v>
      </c>
      <c r="K45" s="1" t="s">
        <v>26</v>
      </c>
      <c r="L45" s="1" t="s">
        <v>27</v>
      </c>
      <c r="M45" s="1" t="s">
        <v>26</v>
      </c>
      <c r="N45" s="1" t="s">
        <v>27</v>
      </c>
      <c r="O45" s="1" t="s">
        <v>26</v>
      </c>
      <c r="P45" s="1" t="s">
        <v>27</v>
      </c>
      <c r="Q45" s="1" t="s">
        <v>26</v>
      </c>
      <c r="R45" s="1" t="s">
        <v>27</v>
      </c>
      <c r="S45" s="1" t="s">
        <v>26</v>
      </c>
      <c r="T45" s="1" t="s">
        <v>27</v>
      </c>
      <c r="U45" s="1" t="s">
        <v>26</v>
      </c>
      <c r="V45" s="1" t="s">
        <v>27</v>
      </c>
      <c r="W45" s="1" t="s">
        <v>26</v>
      </c>
      <c r="X45" s="1" t="s">
        <v>27</v>
      </c>
      <c r="Y45" s="1" t="s">
        <v>26</v>
      </c>
      <c r="Z45" s="1" t="s">
        <v>27</v>
      </c>
      <c r="AA45" s="1" t="s">
        <v>26</v>
      </c>
      <c r="AB45" s="1" t="s">
        <v>27</v>
      </c>
      <c r="AC45" s="1" t="s">
        <v>26</v>
      </c>
      <c r="AD45" s="1" t="s">
        <v>27</v>
      </c>
    </row>
    <row r="46" spans="2:30" ht="15" customHeight="1" x14ac:dyDescent="0.25">
      <c r="K46">
        <f>SUM(K$47:K$55)</f>
        <v>0</v>
      </c>
      <c r="M46">
        <f>SUM(M$47:M$55)</f>
        <v>0</v>
      </c>
      <c r="O46">
        <f>SUM(O$47:O$55)</f>
        <v>0</v>
      </c>
      <c r="Q46">
        <f>SUM(Q$47:Q$55)</f>
        <v>0</v>
      </c>
      <c r="S46">
        <f>SUM(S$47:S$55)</f>
        <v>0</v>
      </c>
      <c r="U46">
        <f>SUM(U$47:U$55)</f>
        <v>0</v>
      </c>
      <c r="W46">
        <f>SUM(W$47:W$55)</f>
        <v>0</v>
      </c>
      <c r="Y46">
        <f>SUM(Y$47:Y$55)</f>
        <v>0</v>
      </c>
      <c r="AA46">
        <f>SUM(AA$47:AA$55)</f>
        <v>0</v>
      </c>
      <c r="AC46">
        <f>SUM(AC$47:AC$55)</f>
        <v>0</v>
      </c>
    </row>
    <row r="47" spans="2:30" x14ac:dyDescent="0.25">
      <c r="C47" t="s">
        <v>4</v>
      </c>
      <c r="D47" cm="1">
        <f t="array" ref="D47">SUM(IF(MOD(COLUMN($K:$AD),2)=1,$K47:$AD47,0))</f>
        <v>0</v>
      </c>
      <c r="E47" cm="1">
        <f t="array" ref="E47">SUM(IF(MOD(COLUMN($K47:$AD47),2)=0,$K47:$AD47,0))</f>
        <v>0</v>
      </c>
      <c r="F47" s="3">
        <f>ROUND(IF($D$44&lt;&gt;0,$D47/$D$44,0),4)</f>
        <v>0</v>
      </c>
      <c r="G47" s="3">
        <f>ROUND(IF($D$3&lt;&gt;0,$D47/$D$3,0),4)</f>
        <v>0</v>
      </c>
      <c r="H47" t="str">
        <f>IF($E47&gt;1,ROUND($F47/$E47,2),"")</f>
        <v/>
      </c>
      <c r="I47" t="str">
        <f>IF($E47&gt;1,ROUND($G47/$E47,2),"")</f>
        <v/>
      </c>
      <c r="K47">
        <f t="shared" ref="K47:K55" si="1">SUMIF(C$11:C$41,$C47,D$11:D$41)</f>
        <v>0</v>
      </c>
      <c r="L47">
        <f t="shared" ref="L47:L55" si="2">COUNTIF(C$11:C$41,$C47)</f>
        <v>0</v>
      </c>
      <c r="M47">
        <f t="shared" ref="M47:M55" si="3">SUMIF(E$11:E$41,$C47,F$11:F$41)</f>
        <v>0</v>
      </c>
      <c r="N47">
        <f t="shared" ref="N47:N55" si="4">COUNTIF(E$11:E$41,$C47)</f>
        <v>0</v>
      </c>
      <c r="O47">
        <f t="shared" ref="O47:O55" si="5">SUMIF(G$11:G$41,$C47,H$11:H$41)</f>
        <v>0</v>
      </c>
      <c r="P47">
        <f t="shared" ref="P47:P55" si="6">COUNTIF(G$11:G$41,$C47)</f>
        <v>0</v>
      </c>
      <c r="Q47">
        <f t="shared" ref="Q47:Q55" si="7">SUMIF(I$11:I$41,$C47,J$11:J$41)</f>
        <v>0</v>
      </c>
      <c r="R47">
        <f t="shared" ref="R47:R55" si="8">COUNTIF(I$11:I$41,$C47)</f>
        <v>0</v>
      </c>
      <c r="S47">
        <f t="shared" ref="S47:S55" si="9">SUMIF(K$11:K$41,$C47,L$11:L$41)</f>
        <v>0</v>
      </c>
      <c r="T47">
        <f t="shared" ref="T47:T55" si="10">COUNTIF(K$11:K$41,$C47)</f>
        <v>0</v>
      </c>
      <c r="U47">
        <f t="shared" ref="U47:U55" si="11">SUMIF(M$11:M$41,$C47,N$11:N$41)</f>
        <v>0</v>
      </c>
      <c r="V47">
        <f t="shared" ref="V47:V55" si="12">COUNTIF(M$11:M$41,$C47)</f>
        <v>0</v>
      </c>
      <c r="W47">
        <f t="shared" ref="W47:W55" si="13">SUMIF(O$11:O$41,$C47,P$11:P$41)</f>
        <v>0</v>
      </c>
      <c r="X47">
        <f t="shared" ref="X47:X55" si="14">COUNTIF(O$11:O$41,$C47)</f>
        <v>0</v>
      </c>
      <c r="Y47">
        <f t="shared" ref="Y47:Y55" si="15">SUMIF(Q$11:Q$41,$C47,R$11:R$41)</f>
        <v>0</v>
      </c>
      <c r="Z47">
        <f t="shared" ref="Z47:Z55" si="16">COUNTIF(Q$11:Q$41,$C47)</f>
        <v>0</v>
      </c>
      <c r="AA47">
        <f t="shared" ref="AA47:AA55" si="17">SUMIF(S$11:S$41,$C47,T$11:T$41)</f>
        <v>0</v>
      </c>
      <c r="AB47">
        <f t="shared" ref="AB47:AB55" si="18">COUNTIF(S$11:S$41,$C47)</f>
        <v>0</v>
      </c>
      <c r="AC47">
        <f t="shared" ref="AC47:AC55" si="19">SUMIF(U$11:U$41,$C47,V$11:V$41)</f>
        <v>0</v>
      </c>
      <c r="AD47">
        <f t="shared" ref="AD47:AD55" si="20">COUNTIF(U$11:U$41,$C47)</f>
        <v>0</v>
      </c>
    </row>
    <row r="48" spans="2:30" x14ac:dyDescent="0.25">
      <c r="C48" t="s">
        <v>5</v>
      </c>
      <c r="D48" cm="1">
        <f t="array" ref="D48">SUM(IF(MOD(COLUMN($K:$AD),2)=1,$K48:$AD48,0))</f>
        <v>0</v>
      </c>
      <c r="E48" cm="1">
        <f t="array" ref="E48">SUM(IF(MOD(COLUMN($K48:$AD48),2)=0,$K48:$AD48,0))</f>
        <v>0</v>
      </c>
      <c r="F48" s="3">
        <f t="shared" ref="F48:F56" si="21">ROUND(IF($D$44&lt;&gt;0,$D48/$D$44,0),4)</f>
        <v>0</v>
      </c>
      <c r="G48" s="3">
        <f t="shared" ref="G48:G56" si="22">ROUND(IF($D$3&lt;&gt;0,$D48/$D$3,0),4)</f>
        <v>0</v>
      </c>
      <c r="H48" t="str">
        <f t="shared" ref="H48:H57" si="23">IF($E48&gt;1,ROUND($F48/$E48,2),"")</f>
        <v/>
      </c>
      <c r="I48" t="str">
        <f t="shared" ref="I48:I57" si="24">IF($E48&gt;1,ROUND($G48/$E48,2),"")</f>
        <v/>
      </c>
      <c r="K48">
        <f t="shared" si="1"/>
        <v>0</v>
      </c>
      <c r="L48">
        <f t="shared" si="2"/>
        <v>0</v>
      </c>
      <c r="M48">
        <f t="shared" si="3"/>
        <v>0</v>
      </c>
      <c r="N48">
        <f t="shared" si="4"/>
        <v>0</v>
      </c>
      <c r="O48">
        <f t="shared" si="5"/>
        <v>0</v>
      </c>
      <c r="P48">
        <f t="shared" si="6"/>
        <v>0</v>
      </c>
      <c r="Q48">
        <f t="shared" si="7"/>
        <v>0</v>
      </c>
      <c r="R48">
        <f t="shared" si="8"/>
        <v>0</v>
      </c>
      <c r="S48">
        <f t="shared" si="9"/>
        <v>0</v>
      </c>
      <c r="T48">
        <f t="shared" si="10"/>
        <v>0</v>
      </c>
      <c r="U48">
        <f t="shared" si="11"/>
        <v>0</v>
      </c>
      <c r="V48">
        <f t="shared" si="12"/>
        <v>0</v>
      </c>
      <c r="W48">
        <f t="shared" si="13"/>
        <v>0</v>
      </c>
      <c r="X48">
        <f t="shared" si="14"/>
        <v>0</v>
      </c>
      <c r="Y48">
        <f t="shared" si="15"/>
        <v>0</v>
      </c>
      <c r="Z48">
        <f t="shared" si="16"/>
        <v>0</v>
      </c>
      <c r="AA48">
        <f t="shared" si="17"/>
        <v>0</v>
      </c>
      <c r="AB48">
        <f t="shared" si="18"/>
        <v>0</v>
      </c>
      <c r="AC48">
        <f t="shared" si="19"/>
        <v>0</v>
      </c>
      <c r="AD48">
        <f t="shared" si="20"/>
        <v>0</v>
      </c>
    </row>
    <row r="49" spans="3:30" x14ac:dyDescent="0.25">
      <c r="C49" t="s">
        <v>6</v>
      </c>
      <c r="D49" cm="1">
        <f t="array" ref="D49">SUM(IF(MOD(COLUMN($K:$AD),2)=1,$K49:$AD49,0))</f>
        <v>0</v>
      </c>
      <c r="E49" cm="1">
        <f t="array" ref="E49">SUM(IF(MOD(COLUMN($K49:$AD49),2)=0,$K49:$AD49,0))</f>
        <v>0</v>
      </c>
      <c r="F49" s="3">
        <f t="shared" si="21"/>
        <v>0</v>
      </c>
      <c r="G49" s="3">
        <f t="shared" si="22"/>
        <v>0</v>
      </c>
      <c r="H49" t="str">
        <f t="shared" si="23"/>
        <v/>
      </c>
      <c r="I49" t="str">
        <f t="shared" si="24"/>
        <v/>
      </c>
      <c r="K49">
        <f t="shared" si="1"/>
        <v>0</v>
      </c>
      <c r="L49">
        <f t="shared" si="2"/>
        <v>0</v>
      </c>
      <c r="M49">
        <f t="shared" si="3"/>
        <v>0</v>
      </c>
      <c r="N49">
        <f t="shared" si="4"/>
        <v>0</v>
      </c>
      <c r="O49">
        <f t="shared" si="5"/>
        <v>0</v>
      </c>
      <c r="P49">
        <f t="shared" si="6"/>
        <v>0</v>
      </c>
      <c r="Q49">
        <f t="shared" si="7"/>
        <v>0</v>
      </c>
      <c r="R49">
        <f t="shared" si="8"/>
        <v>0</v>
      </c>
      <c r="S49">
        <f t="shared" si="9"/>
        <v>0</v>
      </c>
      <c r="T49">
        <f t="shared" si="10"/>
        <v>0</v>
      </c>
      <c r="U49">
        <f t="shared" si="11"/>
        <v>0</v>
      </c>
      <c r="V49">
        <f t="shared" si="12"/>
        <v>0</v>
      </c>
      <c r="W49">
        <f t="shared" si="13"/>
        <v>0</v>
      </c>
      <c r="X49">
        <f t="shared" si="14"/>
        <v>0</v>
      </c>
      <c r="Y49">
        <f t="shared" si="15"/>
        <v>0</v>
      </c>
      <c r="Z49">
        <f t="shared" si="16"/>
        <v>0</v>
      </c>
      <c r="AA49">
        <f t="shared" si="17"/>
        <v>0</v>
      </c>
      <c r="AB49">
        <f t="shared" si="18"/>
        <v>0</v>
      </c>
      <c r="AC49">
        <f t="shared" si="19"/>
        <v>0</v>
      </c>
      <c r="AD49">
        <f t="shared" si="20"/>
        <v>0</v>
      </c>
    </row>
    <row r="50" spans="3:30" x14ac:dyDescent="0.25">
      <c r="C50" t="s">
        <v>13</v>
      </c>
      <c r="D50" cm="1">
        <f t="array" ref="D50">SUM(IF(MOD(COLUMN($K:$AD),2)=1,$K50:$AD50,0))</f>
        <v>0</v>
      </c>
      <c r="E50" cm="1">
        <f t="array" ref="E50">SUM(IF(MOD(COLUMN($K50:$AD50),2)=0,$K50:$AD50,0))</f>
        <v>0</v>
      </c>
      <c r="F50" s="3">
        <f t="shared" si="21"/>
        <v>0</v>
      </c>
      <c r="G50" s="3">
        <f t="shared" si="22"/>
        <v>0</v>
      </c>
      <c r="H50" t="str">
        <f t="shared" si="23"/>
        <v/>
      </c>
      <c r="I50" t="str">
        <f t="shared" si="24"/>
        <v/>
      </c>
      <c r="K50">
        <f t="shared" si="1"/>
        <v>0</v>
      </c>
      <c r="L50">
        <f t="shared" si="2"/>
        <v>0</v>
      </c>
      <c r="M50">
        <f t="shared" si="3"/>
        <v>0</v>
      </c>
      <c r="N50">
        <f t="shared" si="4"/>
        <v>0</v>
      </c>
      <c r="O50">
        <f t="shared" si="5"/>
        <v>0</v>
      </c>
      <c r="P50">
        <f t="shared" si="6"/>
        <v>0</v>
      </c>
      <c r="Q50">
        <f t="shared" si="7"/>
        <v>0</v>
      </c>
      <c r="R50">
        <f t="shared" si="8"/>
        <v>0</v>
      </c>
      <c r="S50">
        <f t="shared" si="9"/>
        <v>0</v>
      </c>
      <c r="T50">
        <f t="shared" si="10"/>
        <v>0</v>
      </c>
      <c r="U50">
        <f t="shared" si="11"/>
        <v>0</v>
      </c>
      <c r="V50">
        <f t="shared" si="12"/>
        <v>0</v>
      </c>
      <c r="W50">
        <f t="shared" si="13"/>
        <v>0</v>
      </c>
      <c r="X50">
        <f t="shared" si="14"/>
        <v>0</v>
      </c>
      <c r="Y50">
        <f t="shared" si="15"/>
        <v>0</v>
      </c>
      <c r="Z50">
        <f t="shared" si="16"/>
        <v>0</v>
      </c>
      <c r="AA50">
        <f t="shared" si="17"/>
        <v>0</v>
      </c>
      <c r="AB50">
        <f t="shared" si="18"/>
        <v>0</v>
      </c>
      <c r="AC50">
        <f t="shared" si="19"/>
        <v>0</v>
      </c>
      <c r="AD50">
        <f t="shared" si="20"/>
        <v>0</v>
      </c>
    </row>
    <row r="51" spans="3:30" x14ac:dyDescent="0.25">
      <c r="C51" t="s">
        <v>14</v>
      </c>
      <c r="D51" cm="1">
        <f t="array" ref="D51">SUM(IF(MOD(COLUMN($K:$AD),2)=1,$K51:$AD51,0))</f>
        <v>0</v>
      </c>
      <c r="E51" cm="1">
        <f t="array" ref="E51">SUM(IF(MOD(COLUMN($K51:$AD51),2)=0,$K51:$AD51,0))</f>
        <v>0</v>
      </c>
      <c r="F51" s="3">
        <f t="shared" si="21"/>
        <v>0</v>
      </c>
      <c r="G51" s="3">
        <f t="shared" si="22"/>
        <v>0</v>
      </c>
      <c r="H51" t="str">
        <f t="shared" si="23"/>
        <v/>
      </c>
      <c r="I51" t="str">
        <f t="shared" si="24"/>
        <v/>
      </c>
      <c r="K51">
        <f t="shared" si="1"/>
        <v>0</v>
      </c>
      <c r="L51">
        <f t="shared" si="2"/>
        <v>0</v>
      </c>
      <c r="M51">
        <f t="shared" si="3"/>
        <v>0</v>
      </c>
      <c r="N51">
        <f t="shared" si="4"/>
        <v>0</v>
      </c>
      <c r="O51">
        <f t="shared" si="5"/>
        <v>0</v>
      </c>
      <c r="P51">
        <f t="shared" si="6"/>
        <v>0</v>
      </c>
      <c r="Q51">
        <f t="shared" si="7"/>
        <v>0</v>
      </c>
      <c r="R51">
        <f t="shared" si="8"/>
        <v>0</v>
      </c>
      <c r="S51">
        <f t="shared" si="9"/>
        <v>0</v>
      </c>
      <c r="T51">
        <f t="shared" si="10"/>
        <v>0</v>
      </c>
      <c r="U51">
        <f t="shared" si="11"/>
        <v>0</v>
      </c>
      <c r="V51">
        <f t="shared" si="12"/>
        <v>0</v>
      </c>
      <c r="W51">
        <f t="shared" si="13"/>
        <v>0</v>
      </c>
      <c r="X51">
        <f t="shared" si="14"/>
        <v>0</v>
      </c>
      <c r="Y51">
        <f t="shared" si="15"/>
        <v>0</v>
      </c>
      <c r="Z51">
        <f t="shared" si="16"/>
        <v>0</v>
      </c>
      <c r="AA51">
        <f t="shared" si="17"/>
        <v>0</v>
      </c>
      <c r="AB51">
        <f t="shared" si="18"/>
        <v>0</v>
      </c>
      <c r="AC51">
        <f t="shared" si="19"/>
        <v>0</v>
      </c>
      <c r="AD51">
        <f t="shared" si="20"/>
        <v>0</v>
      </c>
    </row>
    <row r="52" spans="3:30" x14ac:dyDescent="0.25">
      <c r="C52" t="s">
        <v>16</v>
      </c>
      <c r="D52" cm="1">
        <f t="array" ref="D52">SUM(IF(MOD(COLUMN($K:$AD),2)=1,$K52:$AD52,0))</f>
        <v>0</v>
      </c>
      <c r="E52" cm="1">
        <f t="array" ref="E52">SUM(IF(MOD(COLUMN($K52:$AD52),2)=0,$K52:$AD52,0))</f>
        <v>0</v>
      </c>
      <c r="F52" s="3">
        <f t="shared" si="21"/>
        <v>0</v>
      </c>
      <c r="G52" s="3">
        <f t="shared" si="22"/>
        <v>0</v>
      </c>
      <c r="H52" t="str">
        <f t="shared" si="23"/>
        <v/>
      </c>
      <c r="I52" t="str">
        <f t="shared" si="24"/>
        <v/>
      </c>
      <c r="K52">
        <f t="shared" si="1"/>
        <v>0</v>
      </c>
      <c r="L52">
        <f t="shared" si="2"/>
        <v>0</v>
      </c>
      <c r="M52">
        <f t="shared" si="3"/>
        <v>0</v>
      </c>
      <c r="N52">
        <f t="shared" si="4"/>
        <v>0</v>
      </c>
      <c r="O52">
        <f t="shared" si="5"/>
        <v>0</v>
      </c>
      <c r="P52">
        <f t="shared" si="6"/>
        <v>0</v>
      </c>
      <c r="Q52">
        <f t="shared" si="7"/>
        <v>0</v>
      </c>
      <c r="R52">
        <f t="shared" si="8"/>
        <v>0</v>
      </c>
      <c r="S52">
        <f t="shared" si="9"/>
        <v>0</v>
      </c>
      <c r="T52">
        <f t="shared" si="10"/>
        <v>0</v>
      </c>
      <c r="U52">
        <f t="shared" si="11"/>
        <v>0</v>
      </c>
      <c r="V52">
        <f t="shared" si="12"/>
        <v>0</v>
      </c>
      <c r="W52">
        <f t="shared" si="13"/>
        <v>0</v>
      </c>
      <c r="X52">
        <f t="shared" si="14"/>
        <v>0</v>
      </c>
      <c r="Y52">
        <f t="shared" si="15"/>
        <v>0</v>
      </c>
      <c r="Z52">
        <f t="shared" si="16"/>
        <v>0</v>
      </c>
      <c r="AA52">
        <f t="shared" si="17"/>
        <v>0</v>
      </c>
      <c r="AB52">
        <f t="shared" si="18"/>
        <v>0</v>
      </c>
      <c r="AC52">
        <f t="shared" si="19"/>
        <v>0</v>
      </c>
      <c r="AD52">
        <f t="shared" si="20"/>
        <v>0</v>
      </c>
    </row>
    <row r="53" spans="3:30" x14ac:dyDescent="0.25">
      <c r="C53" t="s">
        <v>3</v>
      </c>
      <c r="D53" cm="1">
        <f t="array" ref="D53">SUM(IF(MOD(COLUMN($K:$AD),2)=1,$K53:$AD53,0))</f>
        <v>0</v>
      </c>
      <c r="E53" cm="1">
        <f t="array" ref="E53">SUM(IF(MOD(COLUMN($K53:$AD53),2)=0,$K53:$AD53,0))</f>
        <v>0</v>
      </c>
      <c r="F53" s="3">
        <f t="shared" si="21"/>
        <v>0</v>
      </c>
      <c r="G53" s="3">
        <f t="shared" si="22"/>
        <v>0</v>
      </c>
      <c r="H53" t="str">
        <f t="shared" si="23"/>
        <v/>
      </c>
      <c r="I53" t="str">
        <f t="shared" si="24"/>
        <v/>
      </c>
      <c r="K53">
        <f t="shared" si="1"/>
        <v>0</v>
      </c>
      <c r="L53">
        <f t="shared" si="2"/>
        <v>0</v>
      </c>
      <c r="M53">
        <f t="shared" si="3"/>
        <v>0</v>
      </c>
      <c r="N53">
        <f t="shared" si="4"/>
        <v>0</v>
      </c>
      <c r="O53">
        <f t="shared" si="5"/>
        <v>0</v>
      </c>
      <c r="P53">
        <f t="shared" si="6"/>
        <v>0</v>
      </c>
      <c r="Q53">
        <f t="shared" si="7"/>
        <v>0</v>
      </c>
      <c r="R53">
        <f t="shared" si="8"/>
        <v>0</v>
      </c>
      <c r="S53">
        <f t="shared" si="9"/>
        <v>0</v>
      </c>
      <c r="T53">
        <f t="shared" si="10"/>
        <v>0</v>
      </c>
      <c r="U53">
        <f t="shared" si="11"/>
        <v>0</v>
      </c>
      <c r="V53">
        <f t="shared" si="12"/>
        <v>0</v>
      </c>
      <c r="W53">
        <f t="shared" si="13"/>
        <v>0</v>
      </c>
      <c r="X53">
        <f t="shared" si="14"/>
        <v>0</v>
      </c>
      <c r="Y53">
        <f t="shared" si="15"/>
        <v>0</v>
      </c>
      <c r="Z53">
        <f t="shared" si="16"/>
        <v>0</v>
      </c>
      <c r="AA53">
        <f t="shared" si="17"/>
        <v>0</v>
      </c>
      <c r="AB53">
        <f t="shared" si="18"/>
        <v>0</v>
      </c>
      <c r="AC53">
        <f t="shared" si="19"/>
        <v>0</v>
      </c>
      <c r="AD53">
        <f t="shared" si="20"/>
        <v>0</v>
      </c>
    </row>
    <row r="54" spans="3:30" x14ac:dyDescent="0.25">
      <c r="C54" t="s">
        <v>11</v>
      </c>
      <c r="D54" cm="1">
        <f t="array" ref="D54">SUM(IF(MOD(COLUMN($K:$AD),2)=1,$K54:$AD54,0))</f>
        <v>0</v>
      </c>
      <c r="E54" cm="1">
        <f t="array" ref="E54">SUM(IF(MOD(COLUMN($K54:$AD54),2)=0,$K54:$AD54,0))</f>
        <v>0</v>
      </c>
      <c r="F54" s="3">
        <f t="shared" si="21"/>
        <v>0</v>
      </c>
      <c r="G54" s="3">
        <f t="shared" si="22"/>
        <v>0</v>
      </c>
      <c r="H54" t="str">
        <f t="shared" si="23"/>
        <v/>
      </c>
      <c r="I54" t="str">
        <f t="shared" si="24"/>
        <v/>
      </c>
      <c r="K54">
        <f t="shared" si="1"/>
        <v>0</v>
      </c>
      <c r="L54">
        <f t="shared" si="2"/>
        <v>0</v>
      </c>
      <c r="M54">
        <f t="shared" si="3"/>
        <v>0</v>
      </c>
      <c r="N54">
        <f t="shared" si="4"/>
        <v>0</v>
      </c>
      <c r="O54">
        <f t="shared" si="5"/>
        <v>0</v>
      </c>
      <c r="P54">
        <f t="shared" si="6"/>
        <v>0</v>
      </c>
      <c r="Q54">
        <f t="shared" si="7"/>
        <v>0</v>
      </c>
      <c r="R54">
        <f t="shared" si="8"/>
        <v>0</v>
      </c>
      <c r="S54">
        <f t="shared" si="9"/>
        <v>0</v>
      </c>
      <c r="T54">
        <f t="shared" si="10"/>
        <v>0</v>
      </c>
      <c r="U54">
        <f t="shared" si="11"/>
        <v>0</v>
      </c>
      <c r="V54">
        <f t="shared" si="12"/>
        <v>0</v>
      </c>
      <c r="W54">
        <f t="shared" si="13"/>
        <v>0</v>
      </c>
      <c r="X54">
        <f t="shared" si="14"/>
        <v>0</v>
      </c>
      <c r="Y54">
        <f t="shared" si="15"/>
        <v>0</v>
      </c>
      <c r="Z54">
        <f t="shared" si="16"/>
        <v>0</v>
      </c>
      <c r="AA54">
        <f t="shared" si="17"/>
        <v>0</v>
      </c>
      <c r="AB54">
        <f t="shared" si="18"/>
        <v>0</v>
      </c>
      <c r="AC54">
        <f t="shared" si="19"/>
        <v>0</v>
      </c>
      <c r="AD54">
        <f t="shared" si="20"/>
        <v>0</v>
      </c>
    </row>
    <row r="55" spans="3:30" x14ac:dyDescent="0.25">
      <c r="C55" t="s">
        <v>12</v>
      </c>
      <c r="D55" cm="1">
        <f t="array" ref="D55">SUM(IF(MOD(COLUMN($K:$AD),2)=1,$K55:$AD55,0))</f>
        <v>0</v>
      </c>
      <c r="E55" cm="1">
        <f t="array" ref="E55">SUM(IF(MOD(COLUMN($K55:$AD55),2)=0,$K55:$AD55,0))</f>
        <v>0</v>
      </c>
      <c r="F55" s="3">
        <f t="shared" si="21"/>
        <v>0</v>
      </c>
      <c r="G55" s="3">
        <f t="shared" si="22"/>
        <v>0</v>
      </c>
      <c r="H55" t="str">
        <f t="shared" si="23"/>
        <v/>
      </c>
      <c r="I55" t="str">
        <f t="shared" si="24"/>
        <v/>
      </c>
      <c r="K55">
        <f t="shared" si="1"/>
        <v>0</v>
      </c>
      <c r="L55">
        <f t="shared" si="2"/>
        <v>0</v>
      </c>
      <c r="M55">
        <f t="shared" si="3"/>
        <v>0</v>
      </c>
      <c r="N55">
        <f t="shared" si="4"/>
        <v>0</v>
      </c>
      <c r="O55">
        <f t="shared" si="5"/>
        <v>0</v>
      </c>
      <c r="P55">
        <f t="shared" si="6"/>
        <v>0</v>
      </c>
      <c r="Q55">
        <f t="shared" si="7"/>
        <v>0</v>
      </c>
      <c r="R55">
        <f t="shared" si="8"/>
        <v>0</v>
      </c>
      <c r="S55">
        <f t="shared" si="9"/>
        <v>0</v>
      </c>
      <c r="T55">
        <f t="shared" si="10"/>
        <v>0</v>
      </c>
      <c r="U55">
        <f t="shared" si="11"/>
        <v>0</v>
      </c>
      <c r="V55">
        <f t="shared" si="12"/>
        <v>0</v>
      </c>
      <c r="W55">
        <f t="shared" si="13"/>
        <v>0</v>
      </c>
      <c r="X55">
        <f t="shared" si="14"/>
        <v>0</v>
      </c>
      <c r="Y55">
        <f t="shared" si="15"/>
        <v>0</v>
      </c>
      <c r="Z55">
        <f t="shared" si="16"/>
        <v>0</v>
      </c>
      <c r="AA55">
        <f t="shared" si="17"/>
        <v>0</v>
      </c>
      <c r="AB55">
        <f t="shared" si="18"/>
        <v>0</v>
      </c>
      <c r="AC55">
        <f t="shared" si="19"/>
        <v>0</v>
      </c>
      <c r="AD55">
        <f t="shared" si="20"/>
        <v>0</v>
      </c>
    </row>
    <row r="56" spans="3:30" ht="21.75" customHeight="1" x14ac:dyDescent="0.25">
      <c r="C56" t="s">
        <v>22</v>
      </c>
      <c r="D56" cm="1">
        <f t="array" ref="D56">SUM(IF(MOD(COLUMN($K:$AD),2)=1,$K56:$AD56,0))</f>
        <v>0</v>
      </c>
      <c r="E56" cm="1">
        <f t="array" ref="E56">SUM(IF(MOD(COLUMN($K56:$AD56),2)=0,$K56:$AD56,0))</f>
        <v>0</v>
      </c>
      <c r="F56" s="3">
        <f t="shared" si="21"/>
        <v>0</v>
      </c>
      <c r="G56" s="3">
        <f t="shared" si="22"/>
        <v>0</v>
      </c>
      <c r="H56" t="str">
        <f t="shared" si="23"/>
        <v/>
      </c>
      <c r="I56" t="str">
        <f t="shared" si="24"/>
        <v/>
      </c>
      <c r="K56">
        <f>D$42-K$46</f>
        <v>0</v>
      </c>
      <c r="M56">
        <f t="shared" ref="M56:O56" si="25">F$42-M$46</f>
        <v>0</v>
      </c>
      <c r="O56">
        <f t="shared" si="25"/>
        <v>0</v>
      </c>
      <c r="Q56">
        <f t="shared" ref="Q56" si="26">J$42-Q$46</f>
        <v>0</v>
      </c>
      <c r="S56">
        <f t="shared" ref="S56" si="27">L$42-S$46</f>
        <v>0</v>
      </c>
      <c r="U56">
        <f t="shared" ref="U56" si="28">N$42-U$46</f>
        <v>0</v>
      </c>
      <c r="W56">
        <f t="shared" ref="W56" si="29">P$42-W$46</f>
        <v>0</v>
      </c>
      <c r="Y56">
        <f t="shared" ref="Y56" si="30">R$42-Y$46</f>
        <v>0</v>
      </c>
      <c r="AA56">
        <f t="shared" ref="AA56" si="31">T$42-AA$46</f>
        <v>0</v>
      </c>
      <c r="AC56">
        <f t="shared" ref="AC56" si="32">V$42-AC$46</f>
        <v>0</v>
      </c>
    </row>
    <row r="57" spans="3:30" ht="15" customHeight="1" x14ac:dyDescent="0.25">
      <c r="F57" s="3">
        <f>SUM(F47:F56)</f>
        <v>0</v>
      </c>
      <c r="G57" s="3">
        <f>SUM(G47:G56)</f>
        <v>0</v>
      </c>
      <c r="H57" t="str">
        <f t="shared" si="23"/>
        <v/>
      </c>
      <c r="I57" t="str">
        <f t="shared" si="24"/>
        <v/>
      </c>
    </row>
    <row r="58" spans="3:30" ht="15" customHeight="1" x14ac:dyDescent="0.25"/>
    <row r="60" spans="3:30" x14ac:dyDescent="0.25">
      <c r="C60" t="s">
        <v>15</v>
      </c>
      <c r="D60">
        <f>D3</f>
        <v>96.3</v>
      </c>
    </row>
    <row r="61" spans="3:30" x14ac:dyDescent="0.25">
      <c r="C61" t="s">
        <v>28</v>
      </c>
      <c r="D61">
        <f>SUM(D47:D56)</f>
        <v>0</v>
      </c>
    </row>
    <row r="62" spans="3:30" ht="44.25" customHeight="1" x14ac:dyDescent="0.25">
      <c r="C62" s="1" t="s">
        <v>29</v>
      </c>
      <c r="D62" s="3">
        <f>G57</f>
        <v>0</v>
      </c>
    </row>
  </sheetData>
  <conditionalFormatting sqref="D62">
    <cfRule type="cellIs" dxfId="13" priority="1" operator="greaterThan">
      <formula>1</formula>
    </cfRule>
    <cfRule type="cellIs" dxfId="12" priority="2" operator="greaterThan">
      <formula>0.95</formula>
    </cfRule>
    <cfRule type="cellIs" dxfId="11" priority="3" operator="greaterThan">
      <formula>0.85</formula>
    </cfRule>
    <cfRule type="cellIs" dxfId="10" priority="4" operator="greaterThan">
      <formula>0.75</formula>
    </cfRule>
    <cfRule type="cellIs" dxfId="9" priority="5" operator="greaterThan">
      <formula>0</formula>
    </cfRule>
  </conditionalFormatting>
  <conditionalFormatting sqref="F44">
    <cfRule type="cellIs" dxfId="8" priority="6" operator="lessThan">
      <formula>0</formula>
    </cfRule>
    <cfRule type="cellIs" dxfId="7" priority="7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2D44-8EF6-4B67-80FD-E0FE94C10C4C}">
  <dimension ref="B3:AD62"/>
  <sheetViews>
    <sheetView tabSelected="1" workbookViewId="0"/>
  </sheetViews>
  <sheetFormatPr defaultRowHeight="15" x14ac:dyDescent="0.25"/>
  <cols>
    <col min="2" max="2" width="10.42578125" bestFit="1" customWidth="1"/>
    <col min="3" max="3" width="10.85546875" customWidth="1"/>
  </cols>
  <sheetData>
    <row r="3" spans="2:22" x14ac:dyDescent="0.25">
      <c r="C3" t="s">
        <v>15</v>
      </c>
      <c r="D3">
        <f>SUM(D4:K4)</f>
        <v>100</v>
      </c>
    </row>
    <row r="4" spans="2:22" x14ac:dyDescent="0.25">
      <c r="B4" t="s">
        <v>20</v>
      </c>
      <c r="D4">
        <v>55</v>
      </c>
      <c r="E4">
        <v>45</v>
      </c>
    </row>
    <row r="10" spans="2:22" x14ac:dyDescent="0.25">
      <c r="B10" s="2" t="s">
        <v>21</v>
      </c>
      <c r="C10" t="s">
        <v>17</v>
      </c>
      <c r="D10" t="s">
        <v>18</v>
      </c>
      <c r="E10" t="s">
        <v>17</v>
      </c>
      <c r="F10" t="s">
        <v>18</v>
      </c>
      <c r="G10" t="s">
        <v>17</v>
      </c>
      <c r="H10" t="s">
        <v>18</v>
      </c>
      <c r="I10" t="s">
        <v>17</v>
      </c>
      <c r="J10" t="s">
        <v>18</v>
      </c>
      <c r="K10" t="s">
        <v>17</v>
      </c>
      <c r="L10" t="s">
        <v>18</v>
      </c>
      <c r="M10" t="s">
        <v>17</v>
      </c>
      <c r="N10" t="s">
        <v>18</v>
      </c>
      <c r="O10" t="s">
        <v>17</v>
      </c>
      <c r="P10" t="s">
        <v>18</v>
      </c>
      <c r="Q10" t="s">
        <v>17</v>
      </c>
      <c r="R10" t="s">
        <v>18</v>
      </c>
      <c r="S10" t="s">
        <v>17</v>
      </c>
      <c r="T10" t="s">
        <v>18</v>
      </c>
      <c r="U10" t="s">
        <v>17</v>
      </c>
      <c r="V10" t="s">
        <v>18</v>
      </c>
    </row>
    <row r="11" spans="2:22" x14ac:dyDescent="0.25">
      <c r="B11" s="2">
        <v>46235</v>
      </c>
    </row>
    <row r="12" spans="2:22" x14ac:dyDescent="0.25">
      <c r="B12" s="2">
        <f>B11+1</f>
        <v>46236</v>
      </c>
      <c r="C12" t="s">
        <v>11</v>
      </c>
      <c r="D12">
        <v>1</v>
      </c>
    </row>
    <row r="13" spans="2:22" x14ac:dyDescent="0.25">
      <c r="B13" s="2">
        <f t="shared" ref="B13:B41" si="0">B12+1</f>
        <v>46237</v>
      </c>
      <c r="C13" t="s">
        <v>22</v>
      </c>
      <c r="D13">
        <v>2</v>
      </c>
      <c r="E13" t="s">
        <v>11</v>
      </c>
      <c r="F13">
        <v>1</v>
      </c>
      <c r="G13" t="s">
        <v>22</v>
      </c>
      <c r="H13">
        <v>0.5</v>
      </c>
      <c r="I13" t="s">
        <v>12</v>
      </c>
      <c r="J13">
        <v>0.5</v>
      </c>
    </row>
    <row r="14" spans="2:22" x14ac:dyDescent="0.25">
      <c r="B14" s="2">
        <f t="shared" si="0"/>
        <v>46238</v>
      </c>
      <c r="C14" t="s">
        <v>11</v>
      </c>
      <c r="D14">
        <v>1</v>
      </c>
      <c r="E14" t="s">
        <v>12</v>
      </c>
      <c r="F14">
        <v>0.5</v>
      </c>
      <c r="G14" t="s">
        <v>5</v>
      </c>
      <c r="H14">
        <v>3</v>
      </c>
    </row>
    <row r="15" spans="2:22" x14ac:dyDescent="0.25">
      <c r="B15" s="2">
        <f t="shared" si="0"/>
        <v>46239</v>
      </c>
      <c r="C15" t="s">
        <v>11</v>
      </c>
      <c r="D15">
        <v>1</v>
      </c>
    </row>
    <row r="16" spans="2:22" x14ac:dyDescent="0.25">
      <c r="B16" s="2">
        <f t="shared" si="0"/>
        <v>46240</v>
      </c>
      <c r="C16" t="s">
        <v>11</v>
      </c>
      <c r="D16">
        <v>1</v>
      </c>
      <c r="E16" t="s">
        <v>12</v>
      </c>
      <c r="F16">
        <v>0.5</v>
      </c>
      <c r="G16" t="s">
        <v>22</v>
      </c>
      <c r="H16">
        <v>2</v>
      </c>
    </row>
    <row r="17" spans="2:4" x14ac:dyDescent="0.25">
      <c r="B17" s="2">
        <f t="shared" si="0"/>
        <v>46241</v>
      </c>
      <c r="C17" t="s">
        <v>4</v>
      </c>
      <c r="D17">
        <v>35</v>
      </c>
    </row>
    <row r="18" spans="2:4" x14ac:dyDescent="0.25">
      <c r="B18" s="2">
        <f t="shared" si="0"/>
        <v>46242</v>
      </c>
    </row>
    <row r="19" spans="2:4" x14ac:dyDescent="0.25">
      <c r="B19" s="2">
        <f t="shared" si="0"/>
        <v>46243</v>
      </c>
    </row>
    <row r="20" spans="2:4" x14ac:dyDescent="0.25">
      <c r="B20" s="2">
        <f t="shared" si="0"/>
        <v>46244</v>
      </c>
    </row>
    <row r="21" spans="2:4" x14ac:dyDescent="0.25">
      <c r="B21" s="2">
        <f t="shared" si="0"/>
        <v>46245</v>
      </c>
    </row>
    <row r="22" spans="2:4" x14ac:dyDescent="0.25">
      <c r="B22" s="2">
        <f t="shared" si="0"/>
        <v>46246</v>
      </c>
    </row>
    <row r="23" spans="2:4" x14ac:dyDescent="0.25">
      <c r="B23" s="2">
        <f t="shared" si="0"/>
        <v>46247</v>
      </c>
    </row>
    <row r="24" spans="2:4" x14ac:dyDescent="0.25">
      <c r="B24" s="2">
        <f t="shared" si="0"/>
        <v>46248</v>
      </c>
    </row>
    <row r="25" spans="2:4" x14ac:dyDescent="0.25">
      <c r="B25" s="2">
        <f t="shared" si="0"/>
        <v>46249</v>
      </c>
    </row>
    <row r="26" spans="2:4" x14ac:dyDescent="0.25">
      <c r="B26" s="2">
        <f t="shared" si="0"/>
        <v>46250</v>
      </c>
    </row>
    <row r="27" spans="2:4" x14ac:dyDescent="0.25">
      <c r="B27" s="2">
        <f t="shared" si="0"/>
        <v>46251</v>
      </c>
    </row>
    <row r="28" spans="2:4" x14ac:dyDescent="0.25">
      <c r="B28" s="2">
        <f t="shared" si="0"/>
        <v>46252</v>
      </c>
    </row>
    <row r="29" spans="2:4" x14ac:dyDescent="0.25">
      <c r="B29" s="2">
        <f t="shared" si="0"/>
        <v>46253</v>
      </c>
    </row>
    <row r="30" spans="2:4" x14ac:dyDescent="0.25">
      <c r="B30" s="2">
        <f t="shared" si="0"/>
        <v>46254</v>
      </c>
    </row>
    <row r="31" spans="2:4" x14ac:dyDescent="0.25">
      <c r="B31" s="2">
        <f t="shared" si="0"/>
        <v>46255</v>
      </c>
    </row>
    <row r="32" spans="2:4" x14ac:dyDescent="0.25">
      <c r="B32" s="2">
        <f t="shared" si="0"/>
        <v>46256</v>
      </c>
    </row>
    <row r="33" spans="2:30" x14ac:dyDescent="0.25">
      <c r="B33" s="2">
        <f t="shared" si="0"/>
        <v>46257</v>
      </c>
    </row>
    <row r="34" spans="2:30" x14ac:dyDescent="0.25">
      <c r="B34" s="2">
        <f t="shared" si="0"/>
        <v>46258</v>
      </c>
    </row>
    <row r="35" spans="2:30" x14ac:dyDescent="0.25">
      <c r="B35" s="2">
        <f t="shared" si="0"/>
        <v>46259</v>
      </c>
    </row>
    <row r="36" spans="2:30" x14ac:dyDescent="0.25">
      <c r="B36" s="2">
        <f t="shared" si="0"/>
        <v>46260</v>
      </c>
    </row>
    <row r="37" spans="2:30" x14ac:dyDescent="0.25">
      <c r="B37" s="2">
        <f t="shared" si="0"/>
        <v>46261</v>
      </c>
    </row>
    <row r="38" spans="2:30" x14ac:dyDescent="0.25">
      <c r="B38" s="2">
        <f t="shared" si="0"/>
        <v>46262</v>
      </c>
    </row>
    <row r="39" spans="2:30" x14ac:dyDescent="0.25">
      <c r="B39" s="2">
        <f t="shared" si="0"/>
        <v>46263</v>
      </c>
    </row>
    <row r="40" spans="2:30" x14ac:dyDescent="0.25">
      <c r="B40" s="2">
        <f t="shared" si="0"/>
        <v>46264</v>
      </c>
    </row>
    <row r="41" spans="2:30" x14ac:dyDescent="0.25">
      <c r="B41" s="2">
        <f t="shared" si="0"/>
        <v>46265</v>
      </c>
    </row>
    <row r="42" spans="2:30" ht="2.25" customHeight="1" x14ac:dyDescent="0.25">
      <c r="B42" t="s">
        <v>25</v>
      </c>
      <c r="D42">
        <f>SUM(D$11:D41)</f>
        <v>41</v>
      </c>
      <c r="F42">
        <f>SUM(F$11:F41)</f>
        <v>2</v>
      </c>
      <c r="H42">
        <f>SUM(H$11:H41)</f>
        <v>5.5</v>
      </c>
      <c r="J42">
        <f>SUM(J$11:J41)</f>
        <v>0.5</v>
      </c>
      <c r="L42">
        <f>SUM(L$11:L41)</f>
        <v>0</v>
      </c>
      <c r="N42">
        <f>SUM(N$11:N41)</f>
        <v>0</v>
      </c>
      <c r="P42">
        <f>SUM(P$11:P41)</f>
        <v>0</v>
      </c>
      <c r="R42">
        <f>SUM(R$11:R41)</f>
        <v>0</v>
      </c>
      <c r="T42">
        <f>SUM(T$11:T41)</f>
        <v>0</v>
      </c>
      <c r="V42">
        <f>SUM(V$11:V41)</f>
        <v>0</v>
      </c>
    </row>
    <row r="43" spans="2:30" x14ac:dyDescent="0.25">
      <c r="B43" t="s">
        <v>23</v>
      </c>
      <c r="D43">
        <f>SUM(D11:D41,F11:F41,H11:H41,J11:J41,L11:L41,N11:N41,P11:P41,R11:R41,T11:T41,V11:V41)</f>
        <v>49</v>
      </c>
    </row>
    <row r="44" spans="2:30" x14ac:dyDescent="0.25">
      <c r="C44" t="s">
        <v>19</v>
      </c>
      <c r="D44">
        <f>SUM(D47:D56)</f>
        <v>49</v>
      </c>
      <c r="E44" t="s">
        <v>24</v>
      </c>
      <c r="F44">
        <f>MAX(D43:D44)-MIN(D43:D44)</f>
        <v>0</v>
      </c>
    </row>
    <row r="45" spans="2:30" ht="90" x14ac:dyDescent="0.25">
      <c r="C45" t="s">
        <v>0</v>
      </c>
      <c r="D45" t="s">
        <v>1</v>
      </c>
      <c r="E45" s="1" t="s">
        <v>2</v>
      </c>
      <c r="F45" s="1" t="s">
        <v>7</v>
      </c>
      <c r="G45" s="1" t="s">
        <v>8</v>
      </c>
      <c r="H45" s="1" t="s">
        <v>9</v>
      </c>
      <c r="I45" s="1" t="s">
        <v>10</v>
      </c>
      <c r="K45" s="1" t="s">
        <v>26</v>
      </c>
      <c r="L45" s="1" t="s">
        <v>27</v>
      </c>
      <c r="M45" s="1" t="s">
        <v>26</v>
      </c>
      <c r="N45" s="1" t="s">
        <v>27</v>
      </c>
      <c r="O45" s="1" t="s">
        <v>26</v>
      </c>
      <c r="P45" s="1" t="s">
        <v>27</v>
      </c>
      <c r="Q45" s="1" t="s">
        <v>26</v>
      </c>
      <c r="R45" s="1" t="s">
        <v>27</v>
      </c>
      <c r="S45" s="1" t="s">
        <v>26</v>
      </c>
      <c r="T45" s="1" t="s">
        <v>27</v>
      </c>
      <c r="U45" s="1" t="s">
        <v>26</v>
      </c>
      <c r="V45" s="1" t="s">
        <v>27</v>
      </c>
      <c r="W45" s="1" t="s">
        <v>26</v>
      </c>
      <c r="X45" s="1" t="s">
        <v>27</v>
      </c>
      <c r="Y45" s="1" t="s">
        <v>26</v>
      </c>
      <c r="Z45" s="1" t="s">
        <v>27</v>
      </c>
      <c r="AA45" s="1" t="s">
        <v>26</v>
      </c>
      <c r="AB45" s="1" t="s">
        <v>27</v>
      </c>
      <c r="AC45" s="1" t="s">
        <v>26</v>
      </c>
      <c r="AD45" s="1" t="s">
        <v>27</v>
      </c>
    </row>
    <row r="46" spans="2:30" ht="15" customHeight="1" x14ac:dyDescent="0.25">
      <c r="K46">
        <f>SUM(K$47:K$55)</f>
        <v>39</v>
      </c>
      <c r="M46">
        <f>SUM(M$47:M$55)</f>
        <v>2</v>
      </c>
      <c r="O46">
        <f>SUM(O$47:O$55)</f>
        <v>3</v>
      </c>
      <c r="Q46">
        <f>SUM(Q$47:Q$55)</f>
        <v>0.5</v>
      </c>
      <c r="S46">
        <f>SUM(S$47:S$55)</f>
        <v>0</v>
      </c>
      <c r="U46">
        <f>SUM(U$47:U$55)</f>
        <v>0</v>
      </c>
      <c r="W46">
        <f>SUM(W$47:W$55)</f>
        <v>0</v>
      </c>
      <c r="Y46">
        <f>SUM(Y$47:Y$55)</f>
        <v>0</v>
      </c>
      <c r="AA46">
        <f>SUM(AA$47:AA$55)</f>
        <v>0</v>
      </c>
      <c r="AC46">
        <f>SUM(AC$47:AC$55)</f>
        <v>0</v>
      </c>
    </row>
    <row r="47" spans="2:30" x14ac:dyDescent="0.25">
      <c r="C47" t="s">
        <v>4</v>
      </c>
      <c r="D47" cm="1">
        <f t="array" ref="D47">SUM(IF(MOD(COLUMN($K:$AD),2)=1,$K47:$AD47,0))</f>
        <v>35</v>
      </c>
      <c r="E47" cm="1">
        <f t="array" ref="E47">SUM(IF(MOD(COLUMN($K47:$AD47),2)=0,$K47:$AD47,0))</f>
        <v>1</v>
      </c>
      <c r="F47" s="3">
        <f>ROUND(IF($D$44&lt;&gt;0,$D47/$D$44,0),4)</f>
        <v>0.71430000000000005</v>
      </c>
      <c r="G47" s="3">
        <f>ROUND(IF($D$3&lt;&gt;0,$D47/$D$3,0),4)</f>
        <v>0.35</v>
      </c>
      <c r="H47" t="str">
        <f>IF($E47&gt;1,ROUND($F47/$E47,2),"")</f>
        <v/>
      </c>
      <c r="I47" t="str">
        <f>IF($E47&gt;1,ROUND($G47/$E47,2),"")</f>
        <v/>
      </c>
      <c r="K47">
        <f t="shared" ref="K47:K55" si="1">SUMIF(C$11:C$41,$C47,D$11:D$41)</f>
        <v>35</v>
      </c>
      <c r="L47">
        <f t="shared" ref="L47:L55" si="2">COUNTIF(C$11:C$41,$C47)</f>
        <v>1</v>
      </c>
      <c r="M47">
        <f t="shared" ref="M47:M55" si="3">SUMIF(E$11:E$41,$C47,F$11:F$41)</f>
        <v>0</v>
      </c>
      <c r="N47">
        <f t="shared" ref="N47:N55" si="4">COUNTIF(E$11:E$41,$C47)</f>
        <v>0</v>
      </c>
      <c r="O47">
        <f t="shared" ref="O47:O55" si="5">SUMIF(G$11:G$41,$C47,H$11:H$41)</f>
        <v>0</v>
      </c>
      <c r="P47">
        <f t="shared" ref="P47:P55" si="6">COUNTIF(G$11:G$41,$C47)</f>
        <v>0</v>
      </c>
      <c r="Q47">
        <f t="shared" ref="Q47:Q55" si="7">SUMIF(I$11:I$41,$C47,J$11:J$41)</f>
        <v>0</v>
      </c>
      <c r="R47">
        <f t="shared" ref="R47:R55" si="8">COUNTIF(I$11:I$41,$C47)</f>
        <v>0</v>
      </c>
      <c r="S47">
        <f t="shared" ref="S47:S55" si="9">SUMIF(K$11:K$41,$C47,L$11:L$41)</f>
        <v>0</v>
      </c>
      <c r="T47">
        <f t="shared" ref="T47:T55" si="10">COUNTIF(K$11:K$41,$C47)</f>
        <v>0</v>
      </c>
      <c r="U47">
        <f t="shared" ref="U47:U55" si="11">SUMIF(M$11:M$41,$C47,N$11:N$41)</f>
        <v>0</v>
      </c>
      <c r="V47">
        <f t="shared" ref="V47:V55" si="12">COUNTIF(M$11:M$41,$C47)</f>
        <v>0</v>
      </c>
      <c r="W47">
        <f t="shared" ref="W47:W55" si="13">SUMIF(O$11:O$41,$C47,P$11:P$41)</f>
        <v>0</v>
      </c>
      <c r="X47">
        <f t="shared" ref="X47:X55" si="14">COUNTIF(O$11:O$41,$C47)</f>
        <v>0</v>
      </c>
      <c r="Y47">
        <f t="shared" ref="Y47:Y55" si="15">SUMIF(Q$11:Q$41,$C47,R$11:R$41)</f>
        <v>0</v>
      </c>
      <c r="Z47">
        <f t="shared" ref="Z47:Z55" si="16">COUNTIF(Q$11:Q$41,$C47)</f>
        <v>0</v>
      </c>
      <c r="AA47">
        <f t="shared" ref="AA47:AA55" si="17">SUMIF(S$11:S$41,$C47,T$11:T$41)</f>
        <v>0</v>
      </c>
      <c r="AB47">
        <f t="shared" ref="AB47:AB55" si="18">COUNTIF(S$11:S$41,$C47)</f>
        <v>0</v>
      </c>
      <c r="AC47">
        <f t="shared" ref="AC47:AC55" si="19">SUMIF(U$11:U$41,$C47,V$11:V$41)</f>
        <v>0</v>
      </c>
      <c r="AD47">
        <f t="shared" ref="AD47:AD55" si="20">COUNTIF(U$11:U$41,$C47)</f>
        <v>0</v>
      </c>
    </row>
    <row r="48" spans="2:30" x14ac:dyDescent="0.25">
      <c r="C48" t="s">
        <v>5</v>
      </c>
      <c r="D48" cm="1">
        <f t="array" ref="D48">SUM(IF(MOD(COLUMN($K:$AD),2)=1,$K48:$AD48,0))</f>
        <v>3</v>
      </c>
      <c r="E48" cm="1">
        <f t="array" ref="E48">SUM(IF(MOD(COLUMN($K48:$AD48),2)=0,$K48:$AD48,0))</f>
        <v>1</v>
      </c>
      <c r="F48" s="3">
        <f t="shared" ref="F48:F56" si="21">ROUND(IF($D$44&lt;&gt;0,$D48/$D$44,0),4)</f>
        <v>6.1199999999999997E-2</v>
      </c>
      <c r="G48" s="3">
        <f t="shared" ref="G48:G56" si="22">ROUND(IF($D$3&lt;&gt;0,$D48/$D$3,0),4)</f>
        <v>0.03</v>
      </c>
      <c r="H48" t="str">
        <f t="shared" ref="H48:H57" si="23">IF($E48&gt;1,ROUND($F48/$E48,2),"")</f>
        <v/>
      </c>
      <c r="I48" t="str">
        <f t="shared" ref="I48:I57" si="24">IF($E48&gt;1,ROUND($G48/$E48,2),"")</f>
        <v/>
      </c>
      <c r="K48">
        <f t="shared" si="1"/>
        <v>0</v>
      </c>
      <c r="L48">
        <f t="shared" si="2"/>
        <v>0</v>
      </c>
      <c r="M48">
        <f t="shared" si="3"/>
        <v>0</v>
      </c>
      <c r="N48">
        <f t="shared" si="4"/>
        <v>0</v>
      </c>
      <c r="O48">
        <f t="shared" si="5"/>
        <v>3</v>
      </c>
      <c r="P48">
        <f t="shared" si="6"/>
        <v>1</v>
      </c>
      <c r="Q48">
        <f t="shared" si="7"/>
        <v>0</v>
      </c>
      <c r="R48">
        <f t="shared" si="8"/>
        <v>0</v>
      </c>
      <c r="S48">
        <f t="shared" si="9"/>
        <v>0</v>
      </c>
      <c r="T48">
        <f t="shared" si="10"/>
        <v>0</v>
      </c>
      <c r="U48">
        <f t="shared" si="11"/>
        <v>0</v>
      </c>
      <c r="V48">
        <f t="shared" si="12"/>
        <v>0</v>
      </c>
      <c r="W48">
        <f t="shared" si="13"/>
        <v>0</v>
      </c>
      <c r="X48">
        <f t="shared" si="14"/>
        <v>0</v>
      </c>
      <c r="Y48">
        <f t="shared" si="15"/>
        <v>0</v>
      </c>
      <c r="Z48">
        <f t="shared" si="16"/>
        <v>0</v>
      </c>
      <c r="AA48">
        <f t="shared" si="17"/>
        <v>0</v>
      </c>
      <c r="AB48">
        <f t="shared" si="18"/>
        <v>0</v>
      </c>
      <c r="AC48">
        <f t="shared" si="19"/>
        <v>0</v>
      </c>
      <c r="AD48">
        <f t="shared" si="20"/>
        <v>0</v>
      </c>
    </row>
    <row r="49" spans="3:30" x14ac:dyDescent="0.25">
      <c r="C49" t="s">
        <v>6</v>
      </c>
      <c r="D49" cm="1">
        <f t="array" ref="D49">SUM(IF(MOD(COLUMN($K:$AD),2)=1,$K49:$AD49,0))</f>
        <v>0</v>
      </c>
      <c r="E49" cm="1">
        <f t="array" ref="E49">SUM(IF(MOD(COLUMN($K49:$AD49),2)=0,$K49:$AD49,0))</f>
        <v>0</v>
      </c>
      <c r="F49" s="3">
        <f t="shared" si="21"/>
        <v>0</v>
      </c>
      <c r="G49" s="3">
        <f t="shared" si="22"/>
        <v>0</v>
      </c>
      <c r="H49" t="str">
        <f t="shared" si="23"/>
        <v/>
      </c>
      <c r="I49" t="str">
        <f t="shared" si="24"/>
        <v/>
      </c>
      <c r="K49">
        <f t="shared" si="1"/>
        <v>0</v>
      </c>
      <c r="L49">
        <f t="shared" si="2"/>
        <v>0</v>
      </c>
      <c r="M49">
        <f t="shared" si="3"/>
        <v>0</v>
      </c>
      <c r="N49">
        <f t="shared" si="4"/>
        <v>0</v>
      </c>
      <c r="O49">
        <f t="shared" si="5"/>
        <v>0</v>
      </c>
      <c r="P49">
        <f t="shared" si="6"/>
        <v>0</v>
      </c>
      <c r="Q49">
        <f t="shared" si="7"/>
        <v>0</v>
      </c>
      <c r="R49">
        <f t="shared" si="8"/>
        <v>0</v>
      </c>
      <c r="S49">
        <f t="shared" si="9"/>
        <v>0</v>
      </c>
      <c r="T49">
        <f t="shared" si="10"/>
        <v>0</v>
      </c>
      <c r="U49">
        <f t="shared" si="11"/>
        <v>0</v>
      </c>
      <c r="V49">
        <f t="shared" si="12"/>
        <v>0</v>
      </c>
      <c r="W49">
        <f t="shared" si="13"/>
        <v>0</v>
      </c>
      <c r="X49">
        <f t="shared" si="14"/>
        <v>0</v>
      </c>
      <c r="Y49">
        <f t="shared" si="15"/>
        <v>0</v>
      </c>
      <c r="Z49">
        <f t="shared" si="16"/>
        <v>0</v>
      </c>
      <c r="AA49">
        <f t="shared" si="17"/>
        <v>0</v>
      </c>
      <c r="AB49">
        <f t="shared" si="18"/>
        <v>0</v>
      </c>
      <c r="AC49">
        <f t="shared" si="19"/>
        <v>0</v>
      </c>
      <c r="AD49">
        <f t="shared" si="20"/>
        <v>0</v>
      </c>
    </row>
    <row r="50" spans="3:30" x14ac:dyDescent="0.25">
      <c r="C50" t="s">
        <v>13</v>
      </c>
      <c r="D50" cm="1">
        <f t="array" ref="D50">SUM(IF(MOD(COLUMN($K:$AD),2)=1,$K50:$AD50,0))</f>
        <v>0</v>
      </c>
      <c r="E50" cm="1">
        <f t="array" ref="E50">SUM(IF(MOD(COLUMN($K50:$AD50),2)=0,$K50:$AD50,0))</f>
        <v>0</v>
      </c>
      <c r="F50" s="3">
        <f t="shared" si="21"/>
        <v>0</v>
      </c>
      <c r="G50" s="3">
        <f t="shared" si="22"/>
        <v>0</v>
      </c>
      <c r="H50" t="str">
        <f t="shared" si="23"/>
        <v/>
      </c>
      <c r="I50" t="str">
        <f t="shared" si="24"/>
        <v/>
      </c>
      <c r="K50">
        <f t="shared" si="1"/>
        <v>0</v>
      </c>
      <c r="L50">
        <f t="shared" si="2"/>
        <v>0</v>
      </c>
      <c r="M50">
        <f t="shared" si="3"/>
        <v>0</v>
      </c>
      <c r="N50">
        <f t="shared" si="4"/>
        <v>0</v>
      </c>
      <c r="O50">
        <f t="shared" si="5"/>
        <v>0</v>
      </c>
      <c r="P50">
        <f t="shared" si="6"/>
        <v>0</v>
      </c>
      <c r="Q50">
        <f t="shared" si="7"/>
        <v>0</v>
      </c>
      <c r="R50">
        <f t="shared" si="8"/>
        <v>0</v>
      </c>
      <c r="S50">
        <f t="shared" si="9"/>
        <v>0</v>
      </c>
      <c r="T50">
        <f t="shared" si="10"/>
        <v>0</v>
      </c>
      <c r="U50">
        <f t="shared" si="11"/>
        <v>0</v>
      </c>
      <c r="V50">
        <f t="shared" si="12"/>
        <v>0</v>
      </c>
      <c r="W50">
        <f t="shared" si="13"/>
        <v>0</v>
      </c>
      <c r="X50">
        <f t="shared" si="14"/>
        <v>0</v>
      </c>
      <c r="Y50">
        <f t="shared" si="15"/>
        <v>0</v>
      </c>
      <c r="Z50">
        <f t="shared" si="16"/>
        <v>0</v>
      </c>
      <c r="AA50">
        <f t="shared" si="17"/>
        <v>0</v>
      </c>
      <c r="AB50">
        <f t="shared" si="18"/>
        <v>0</v>
      </c>
      <c r="AC50">
        <f t="shared" si="19"/>
        <v>0</v>
      </c>
      <c r="AD50">
        <f t="shared" si="20"/>
        <v>0</v>
      </c>
    </row>
    <row r="51" spans="3:30" x14ac:dyDescent="0.25">
      <c r="C51" t="s">
        <v>14</v>
      </c>
      <c r="D51" cm="1">
        <f t="array" ref="D51">SUM(IF(MOD(COLUMN($K:$AD),2)=1,$K51:$AD51,0))</f>
        <v>0</v>
      </c>
      <c r="E51" cm="1">
        <f t="array" ref="E51">SUM(IF(MOD(COLUMN($K51:$AD51),2)=0,$K51:$AD51,0))</f>
        <v>0</v>
      </c>
      <c r="F51" s="3">
        <f t="shared" si="21"/>
        <v>0</v>
      </c>
      <c r="G51" s="3">
        <f t="shared" si="22"/>
        <v>0</v>
      </c>
      <c r="H51" t="str">
        <f t="shared" si="23"/>
        <v/>
      </c>
      <c r="I51" t="str">
        <f t="shared" si="24"/>
        <v/>
      </c>
      <c r="K51">
        <f t="shared" si="1"/>
        <v>0</v>
      </c>
      <c r="L51">
        <f t="shared" si="2"/>
        <v>0</v>
      </c>
      <c r="M51">
        <f t="shared" si="3"/>
        <v>0</v>
      </c>
      <c r="N51">
        <f t="shared" si="4"/>
        <v>0</v>
      </c>
      <c r="O51">
        <f t="shared" si="5"/>
        <v>0</v>
      </c>
      <c r="P51">
        <f t="shared" si="6"/>
        <v>0</v>
      </c>
      <c r="Q51">
        <f t="shared" si="7"/>
        <v>0</v>
      </c>
      <c r="R51">
        <f t="shared" si="8"/>
        <v>0</v>
      </c>
      <c r="S51">
        <f t="shared" si="9"/>
        <v>0</v>
      </c>
      <c r="T51">
        <f t="shared" si="10"/>
        <v>0</v>
      </c>
      <c r="U51">
        <f t="shared" si="11"/>
        <v>0</v>
      </c>
      <c r="V51">
        <f t="shared" si="12"/>
        <v>0</v>
      </c>
      <c r="W51">
        <f t="shared" si="13"/>
        <v>0</v>
      </c>
      <c r="X51">
        <f t="shared" si="14"/>
        <v>0</v>
      </c>
      <c r="Y51">
        <f t="shared" si="15"/>
        <v>0</v>
      </c>
      <c r="Z51">
        <f t="shared" si="16"/>
        <v>0</v>
      </c>
      <c r="AA51">
        <f t="shared" si="17"/>
        <v>0</v>
      </c>
      <c r="AB51">
        <f t="shared" si="18"/>
        <v>0</v>
      </c>
      <c r="AC51">
        <f t="shared" si="19"/>
        <v>0</v>
      </c>
      <c r="AD51">
        <f t="shared" si="20"/>
        <v>0</v>
      </c>
    </row>
    <row r="52" spans="3:30" x14ac:dyDescent="0.25">
      <c r="C52" t="s">
        <v>16</v>
      </c>
      <c r="D52" cm="1">
        <f t="array" ref="D52">SUM(IF(MOD(COLUMN($K:$AD),2)=1,$K52:$AD52,0))</f>
        <v>0</v>
      </c>
      <c r="E52" cm="1">
        <f t="array" ref="E52">SUM(IF(MOD(COLUMN($K52:$AD52),2)=0,$K52:$AD52,0))</f>
        <v>0</v>
      </c>
      <c r="F52" s="3">
        <f t="shared" si="21"/>
        <v>0</v>
      </c>
      <c r="G52" s="3">
        <f t="shared" si="22"/>
        <v>0</v>
      </c>
      <c r="H52" t="str">
        <f t="shared" si="23"/>
        <v/>
      </c>
      <c r="I52" t="str">
        <f t="shared" si="24"/>
        <v/>
      </c>
      <c r="K52">
        <f t="shared" si="1"/>
        <v>0</v>
      </c>
      <c r="L52">
        <f t="shared" si="2"/>
        <v>0</v>
      </c>
      <c r="M52">
        <f t="shared" si="3"/>
        <v>0</v>
      </c>
      <c r="N52">
        <f t="shared" si="4"/>
        <v>0</v>
      </c>
      <c r="O52">
        <f t="shared" si="5"/>
        <v>0</v>
      </c>
      <c r="P52">
        <f t="shared" si="6"/>
        <v>0</v>
      </c>
      <c r="Q52">
        <f t="shared" si="7"/>
        <v>0</v>
      </c>
      <c r="R52">
        <f t="shared" si="8"/>
        <v>0</v>
      </c>
      <c r="S52">
        <f t="shared" si="9"/>
        <v>0</v>
      </c>
      <c r="T52">
        <f t="shared" si="10"/>
        <v>0</v>
      </c>
      <c r="U52">
        <f t="shared" si="11"/>
        <v>0</v>
      </c>
      <c r="V52">
        <f t="shared" si="12"/>
        <v>0</v>
      </c>
      <c r="W52">
        <f t="shared" si="13"/>
        <v>0</v>
      </c>
      <c r="X52">
        <f t="shared" si="14"/>
        <v>0</v>
      </c>
      <c r="Y52">
        <f t="shared" si="15"/>
        <v>0</v>
      </c>
      <c r="Z52">
        <f t="shared" si="16"/>
        <v>0</v>
      </c>
      <c r="AA52">
        <f t="shared" si="17"/>
        <v>0</v>
      </c>
      <c r="AB52">
        <f t="shared" si="18"/>
        <v>0</v>
      </c>
      <c r="AC52">
        <f t="shared" si="19"/>
        <v>0</v>
      </c>
      <c r="AD52">
        <f t="shared" si="20"/>
        <v>0</v>
      </c>
    </row>
    <row r="53" spans="3:30" x14ac:dyDescent="0.25">
      <c r="C53" t="s">
        <v>3</v>
      </c>
      <c r="D53" cm="1">
        <f t="array" ref="D53">SUM(IF(MOD(COLUMN($K:$AD),2)=1,$K53:$AD53,0))</f>
        <v>0</v>
      </c>
      <c r="E53" cm="1">
        <f t="array" ref="E53">SUM(IF(MOD(COLUMN($K53:$AD53),2)=0,$K53:$AD53,0))</f>
        <v>0</v>
      </c>
      <c r="F53" s="3">
        <f t="shared" si="21"/>
        <v>0</v>
      </c>
      <c r="G53" s="3">
        <f t="shared" si="22"/>
        <v>0</v>
      </c>
      <c r="H53" t="str">
        <f t="shared" si="23"/>
        <v/>
      </c>
      <c r="I53" t="str">
        <f t="shared" si="24"/>
        <v/>
      </c>
      <c r="K53">
        <f t="shared" si="1"/>
        <v>0</v>
      </c>
      <c r="L53">
        <f t="shared" si="2"/>
        <v>0</v>
      </c>
      <c r="M53">
        <f t="shared" si="3"/>
        <v>0</v>
      </c>
      <c r="N53">
        <f t="shared" si="4"/>
        <v>0</v>
      </c>
      <c r="O53">
        <f t="shared" si="5"/>
        <v>0</v>
      </c>
      <c r="P53">
        <f t="shared" si="6"/>
        <v>0</v>
      </c>
      <c r="Q53">
        <f t="shared" si="7"/>
        <v>0</v>
      </c>
      <c r="R53">
        <f t="shared" si="8"/>
        <v>0</v>
      </c>
      <c r="S53">
        <f t="shared" si="9"/>
        <v>0</v>
      </c>
      <c r="T53">
        <f t="shared" si="10"/>
        <v>0</v>
      </c>
      <c r="U53">
        <f t="shared" si="11"/>
        <v>0</v>
      </c>
      <c r="V53">
        <f t="shared" si="12"/>
        <v>0</v>
      </c>
      <c r="W53">
        <f t="shared" si="13"/>
        <v>0</v>
      </c>
      <c r="X53">
        <f t="shared" si="14"/>
        <v>0</v>
      </c>
      <c r="Y53">
        <f t="shared" si="15"/>
        <v>0</v>
      </c>
      <c r="Z53">
        <f t="shared" si="16"/>
        <v>0</v>
      </c>
      <c r="AA53">
        <f t="shared" si="17"/>
        <v>0</v>
      </c>
      <c r="AB53">
        <f t="shared" si="18"/>
        <v>0</v>
      </c>
      <c r="AC53">
        <f t="shared" si="19"/>
        <v>0</v>
      </c>
      <c r="AD53">
        <f t="shared" si="20"/>
        <v>0</v>
      </c>
    </row>
    <row r="54" spans="3:30" x14ac:dyDescent="0.25">
      <c r="C54" t="s">
        <v>11</v>
      </c>
      <c r="D54" cm="1">
        <f t="array" ref="D54">SUM(IF(MOD(COLUMN($K:$AD),2)=1,$K54:$AD54,0))</f>
        <v>5</v>
      </c>
      <c r="E54" cm="1">
        <f t="array" ref="E54">SUM(IF(MOD(COLUMN($K54:$AD54),2)=0,$K54:$AD54,0))</f>
        <v>5</v>
      </c>
      <c r="F54" s="3">
        <f t="shared" si="21"/>
        <v>0.10199999999999999</v>
      </c>
      <c r="G54" s="3">
        <f t="shared" si="22"/>
        <v>0.05</v>
      </c>
      <c r="H54">
        <f t="shared" si="23"/>
        <v>0.02</v>
      </c>
      <c r="I54">
        <f t="shared" si="24"/>
        <v>0.01</v>
      </c>
      <c r="K54">
        <f t="shared" si="1"/>
        <v>4</v>
      </c>
      <c r="L54">
        <f t="shared" si="2"/>
        <v>4</v>
      </c>
      <c r="M54">
        <f t="shared" si="3"/>
        <v>1</v>
      </c>
      <c r="N54">
        <f t="shared" si="4"/>
        <v>1</v>
      </c>
      <c r="O54">
        <f t="shared" si="5"/>
        <v>0</v>
      </c>
      <c r="P54">
        <f t="shared" si="6"/>
        <v>0</v>
      </c>
      <c r="Q54">
        <f t="shared" si="7"/>
        <v>0</v>
      </c>
      <c r="R54">
        <f t="shared" si="8"/>
        <v>0</v>
      </c>
      <c r="S54">
        <f t="shared" si="9"/>
        <v>0</v>
      </c>
      <c r="T54">
        <f t="shared" si="10"/>
        <v>0</v>
      </c>
      <c r="U54">
        <f t="shared" si="11"/>
        <v>0</v>
      </c>
      <c r="V54">
        <f t="shared" si="12"/>
        <v>0</v>
      </c>
      <c r="W54">
        <f t="shared" si="13"/>
        <v>0</v>
      </c>
      <c r="X54">
        <f t="shared" si="14"/>
        <v>0</v>
      </c>
      <c r="Y54">
        <f t="shared" si="15"/>
        <v>0</v>
      </c>
      <c r="Z54">
        <f t="shared" si="16"/>
        <v>0</v>
      </c>
      <c r="AA54">
        <f t="shared" si="17"/>
        <v>0</v>
      </c>
      <c r="AB54">
        <f t="shared" si="18"/>
        <v>0</v>
      </c>
      <c r="AC54">
        <f t="shared" si="19"/>
        <v>0</v>
      </c>
      <c r="AD54">
        <f t="shared" si="20"/>
        <v>0</v>
      </c>
    </row>
    <row r="55" spans="3:30" x14ac:dyDescent="0.25">
      <c r="C55" t="s">
        <v>12</v>
      </c>
      <c r="D55" cm="1">
        <f t="array" ref="D55">SUM(IF(MOD(COLUMN($K:$AD),2)=1,$K55:$AD55,0))</f>
        <v>1.5</v>
      </c>
      <c r="E55" cm="1">
        <f t="array" ref="E55">SUM(IF(MOD(COLUMN($K55:$AD55),2)=0,$K55:$AD55,0))</f>
        <v>3</v>
      </c>
      <c r="F55" s="3">
        <f t="shared" si="21"/>
        <v>3.0599999999999999E-2</v>
      </c>
      <c r="G55" s="3">
        <f t="shared" si="22"/>
        <v>1.4999999999999999E-2</v>
      </c>
      <c r="H55">
        <f t="shared" si="23"/>
        <v>0.01</v>
      </c>
      <c r="I55">
        <f t="shared" si="24"/>
        <v>0.01</v>
      </c>
      <c r="K55">
        <f t="shared" si="1"/>
        <v>0</v>
      </c>
      <c r="L55">
        <f t="shared" si="2"/>
        <v>0</v>
      </c>
      <c r="M55">
        <f t="shared" si="3"/>
        <v>1</v>
      </c>
      <c r="N55">
        <f t="shared" si="4"/>
        <v>2</v>
      </c>
      <c r="O55">
        <f t="shared" si="5"/>
        <v>0</v>
      </c>
      <c r="P55">
        <f t="shared" si="6"/>
        <v>0</v>
      </c>
      <c r="Q55">
        <f t="shared" si="7"/>
        <v>0.5</v>
      </c>
      <c r="R55">
        <f t="shared" si="8"/>
        <v>1</v>
      </c>
      <c r="S55">
        <f t="shared" si="9"/>
        <v>0</v>
      </c>
      <c r="T55">
        <f t="shared" si="10"/>
        <v>0</v>
      </c>
      <c r="U55">
        <f t="shared" si="11"/>
        <v>0</v>
      </c>
      <c r="V55">
        <f t="shared" si="12"/>
        <v>0</v>
      </c>
      <c r="W55">
        <f t="shared" si="13"/>
        <v>0</v>
      </c>
      <c r="X55">
        <f t="shared" si="14"/>
        <v>0</v>
      </c>
      <c r="Y55">
        <f t="shared" si="15"/>
        <v>0</v>
      </c>
      <c r="Z55">
        <f t="shared" si="16"/>
        <v>0</v>
      </c>
      <c r="AA55">
        <f t="shared" si="17"/>
        <v>0</v>
      </c>
      <c r="AB55">
        <f t="shared" si="18"/>
        <v>0</v>
      </c>
      <c r="AC55">
        <f t="shared" si="19"/>
        <v>0</v>
      </c>
      <c r="AD55">
        <f t="shared" si="20"/>
        <v>0</v>
      </c>
    </row>
    <row r="56" spans="3:30" ht="21.75" customHeight="1" x14ac:dyDescent="0.25">
      <c r="C56" t="s">
        <v>22</v>
      </c>
      <c r="D56" cm="1">
        <f t="array" ref="D56">SUM(IF(MOD(COLUMN($K:$AD),2)=1,$K56:$AD56,0))</f>
        <v>4.5</v>
      </c>
      <c r="E56" cm="1">
        <f t="array" ref="E56">SUM(IF(MOD(COLUMN($K56:$AD56),2)=0,$K56:$AD56,0))</f>
        <v>0</v>
      </c>
      <c r="F56" s="3">
        <f t="shared" si="21"/>
        <v>9.1800000000000007E-2</v>
      </c>
      <c r="G56" s="3">
        <f t="shared" si="22"/>
        <v>4.4999999999999998E-2</v>
      </c>
      <c r="H56" t="str">
        <f t="shared" si="23"/>
        <v/>
      </c>
      <c r="I56" t="str">
        <f t="shared" si="24"/>
        <v/>
      </c>
      <c r="K56">
        <f>D$42-K$46</f>
        <v>2</v>
      </c>
      <c r="M56">
        <f t="shared" ref="M56:O56" si="25">F$42-M$46</f>
        <v>0</v>
      </c>
      <c r="O56">
        <f t="shared" si="25"/>
        <v>2.5</v>
      </c>
      <c r="Q56">
        <f t="shared" ref="Q56" si="26">J$42-Q$46</f>
        <v>0</v>
      </c>
      <c r="S56">
        <f t="shared" ref="S56" si="27">L$42-S$46</f>
        <v>0</v>
      </c>
      <c r="U56">
        <f t="shared" ref="U56" si="28">N$42-U$46</f>
        <v>0</v>
      </c>
      <c r="W56">
        <f t="shared" ref="W56" si="29">P$42-W$46</f>
        <v>0</v>
      </c>
      <c r="Y56">
        <f t="shared" ref="Y56" si="30">R$42-Y$46</f>
        <v>0</v>
      </c>
      <c r="AA56">
        <f t="shared" ref="AA56" si="31">T$42-AA$46</f>
        <v>0</v>
      </c>
      <c r="AC56">
        <f t="shared" ref="AC56" si="32">V$42-AC$46</f>
        <v>0</v>
      </c>
    </row>
    <row r="57" spans="3:30" ht="15" customHeight="1" x14ac:dyDescent="0.25">
      <c r="F57" s="3">
        <f>SUM(F47:F56)</f>
        <v>0.99990000000000001</v>
      </c>
      <c r="G57" s="3">
        <f>SUM(G47:G56)</f>
        <v>0.49</v>
      </c>
      <c r="H57" t="str">
        <f t="shared" si="23"/>
        <v/>
      </c>
      <c r="I57" t="str">
        <f t="shared" si="24"/>
        <v/>
      </c>
    </row>
    <row r="58" spans="3:30" ht="15" customHeight="1" x14ac:dyDescent="0.25"/>
    <row r="60" spans="3:30" x14ac:dyDescent="0.25">
      <c r="C60" t="s">
        <v>15</v>
      </c>
      <c r="D60">
        <f>D3</f>
        <v>100</v>
      </c>
    </row>
    <row r="61" spans="3:30" x14ac:dyDescent="0.25">
      <c r="C61" t="s">
        <v>28</v>
      </c>
      <c r="D61">
        <f>SUM(D47:D56)</f>
        <v>49</v>
      </c>
    </row>
    <row r="62" spans="3:30" ht="44.25" customHeight="1" x14ac:dyDescent="0.25">
      <c r="C62" s="1" t="s">
        <v>29</v>
      </c>
      <c r="D62" s="3">
        <f>G57</f>
        <v>0.49</v>
      </c>
    </row>
  </sheetData>
  <conditionalFormatting sqref="D62">
    <cfRule type="cellIs" dxfId="6" priority="1" operator="greaterThan">
      <formula>1</formula>
    </cfRule>
    <cfRule type="cellIs" dxfId="5" priority="2" operator="greaterThan">
      <formula>0.95</formula>
    </cfRule>
    <cfRule type="cellIs" dxfId="4" priority="3" operator="greaterThan">
      <formula>0.85</formula>
    </cfRule>
    <cfRule type="cellIs" dxfId="3" priority="4" operator="greaterThan">
      <formula>0.75</formula>
    </cfRule>
    <cfRule type="cellIs" dxfId="2" priority="5" operator="greaterThan">
      <formula>0</formula>
    </cfRule>
  </conditionalFormatting>
  <conditionalFormatting sqref="F44">
    <cfRule type="cellIs" dxfId="1" priority="6" operator="lessThan">
      <formula>0</formula>
    </cfRule>
    <cfRule type="cellIs" dxfId="0" priority="7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Example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</dc:creator>
  <cp:lastModifiedBy>Tyler Andreasen</cp:lastModifiedBy>
  <dcterms:created xsi:type="dcterms:W3CDTF">2015-06-05T18:17:20Z</dcterms:created>
  <dcterms:modified xsi:type="dcterms:W3CDTF">2026-08-22T03:05:51Z</dcterms:modified>
</cp:coreProperties>
</file>